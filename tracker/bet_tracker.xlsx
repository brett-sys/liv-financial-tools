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ets" sheetId="2" state="visible" r:id="rId2"/>
    <sheet name="Checklist" sheetId="3" state="visible" r:id="rId3"/>
    <sheet name="Weekly" sheetId="4" state="visible" r:id="rId4"/>
  </sheets>
  <definedNames>
    <definedName name="_xlnm.Print_Area" localSheetId="2">'Checklist'!$A$1:$B$40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"/>
    <numFmt numFmtId="166" formatCode="yyyy-mm-dd"/>
    <numFmt numFmtId="167" formatCode="0.0%"/>
  </numFmts>
  <fonts count="1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2C"/>
      <sz val="16"/>
    </font>
    <font>
      <b val="1"/>
      <sz val="10"/>
    </font>
    <font>
      <b val="1"/>
      <color rgb="001F4E2C"/>
      <sz val="12"/>
    </font>
    <font>
      <i val="1"/>
      <color rgb="00666666"/>
      <sz val="9"/>
    </font>
    <font>
      <b val="1"/>
      <color rgb="009C0006"/>
      <sz val="10"/>
    </font>
    <font>
      <b val="1"/>
    </font>
    <font>
      <sz val="10"/>
    </font>
    <font>
      <b val="1"/>
      <color rgb="001F4E2C"/>
      <sz val="15"/>
    </font>
    <font>
      <sz val="13"/>
    </font>
    <font>
      <i val="1"/>
      <sz val="10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1F4E2C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0" borderId="1" pivotButton="0" quotePrefix="0" xfId="0"/>
    <xf numFmtId="164" fontId="7" fillId="0" borderId="1" pivotButton="0" quotePrefix="0" xfId="0"/>
    <xf numFmtId="0" fontId="4" fillId="0" borderId="0" pivotButton="0" quotePrefix="0" xfId="0"/>
    <xf numFmtId="1" fontId="7" fillId="0" borderId="0" pivotButton="0" quotePrefix="0" xfId="0"/>
    <xf numFmtId="0" fontId="7" fillId="0" borderId="0" pivotButton="0" quotePrefix="0" xfId="0"/>
    <xf numFmtId="167" fontId="7" fillId="0" borderId="0" pivotButton="0" quotePrefix="0" xfId="0"/>
    <xf numFmtId="164" fontId="7" fillId="0" borderId="0" pivotButton="0" quotePrefix="0" xfId="0"/>
    <xf numFmtId="165" fontId="7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7" fontId="0" fillId="0" borderId="1" pivotButton="0" quotePrefix="0" xfId="0"/>
    <xf numFmtId="164" fontId="0" fillId="0" borderId="1" pivotButton="0" quotePrefix="0" xfId="0"/>
    <xf numFmtId="0" fontId="3" fillId="3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166" fontId="0" fillId="0" borderId="1" pivotButton="0" quotePrefix="0" xfId="0"/>
    <xf numFmtId="165" fontId="0" fillId="0" borderId="1" pivotButton="0" quotePrefix="0" xfId="0"/>
    <xf numFmtId="0" fontId="9" fillId="0" borderId="0" pivotButton="0" quotePrefix="0" xfId="0"/>
    <xf numFmtId="0" fontId="0" fillId="7" borderId="0" pivotButton="0" quotePrefix="0" xfId="0"/>
    <xf numFmtId="0" fontId="3" fillId="7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dxfs count="9">
    <dxf>
      <font>
        <color rgb="00006100"/>
      </font>
      <fill>
        <patternFill patternType="solid">
          <fgColor rgb="00C6EFCE"/>
        </patternFill>
      </fill>
    </dxf>
    <dxf>
      <font>
        <color rgb="009C0006"/>
      </font>
      <fill>
        <patternFill patternType="solid">
          <fgColor rgb="00FFC7CE"/>
        </patternFill>
      </fill>
    </dxf>
    <dxf>
      <fill>
        <patternFill patternType="solid">
          <fgColor rgb="00D9D9D9"/>
        </patternFill>
      </fill>
    </dxf>
    <dxf>
      <fill>
        <patternFill patternType="solid">
          <fgColor rgb="00D9E1F2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E4DFEC"/>
        </patternFill>
      </fill>
    </dxf>
    <dxf>
      <font>
        <color rgb="00006100"/>
      </font>
    </dxf>
    <dxf>
      <font>
        <color rgb="009C000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BRETT'S BETTING TRACKER</t>
        </is>
      </c>
    </row>
    <row r="2">
      <c r="A2" s="2" t="inlineStr">
        <is>
          <t>Bankroll</t>
        </is>
      </c>
      <c r="B2" s="3" t="n">
        <v>3941</v>
      </c>
      <c r="C2" s="4" t="inlineStr">
        <is>
          <t>as of 2026-05-14</t>
        </is>
      </c>
      <c r="D2" s="5" t="inlineStr">
        <is>
          <t>STALE — update before sizing</t>
        </is>
      </c>
    </row>
    <row r="3">
      <c r="A3" s="2" t="inlineStr">
        <is>
          <t>TIER CONTROLS</t>
        </is>
      </c>
    </row>
    <row r="4">
      <c r="A4" s="6" t="inlineStr">
        <is>
          <t>Lean</t>
        </is>
      </c>
      <c r="B4" s="7" t="n">
        <v>295</v>
      </c>
    </row>
    <row r="5">
      <c r="A5" s="6" t="inlineStr">
        <is>
          <t>Standard</t>
        </is>
      </c>
      <c r="B5" s="7" t="n">
        <v>510</v>
      </c>
    </row>
    <row r="6">
      <c r="A6" s="6" t="inlineStr">
        <is>
          <t>Max</t>
        </is>
      </c>
      <c r="B6" s="7" t="n">
        <v>900</v>
      </c>
    </row>
    <row r="7">
      <c r="A7" s="6" t="inlineStr">
        <is>
          <t>Parlay</t>
        </is>
      </c>
      <c r="B7" s="7" t="n">
        <v>50</v>
      </c>
      <c r="C7" s="4" t="inlineStr">
        <is>
          <t>range $25-$50, 2-leg cross-game only</t>
        </is>
      </c>
    </row>
    <row r="9">
      <c r="A9" s="8" t="inlineStr">
        <is>
          <t>PERFORMANCE</t>
        </is>
      </c>
    </row>
    <row r="10">
      <c r="A10" s="2" t="inlineStr">
        <is>
          <t>Settled bets</t>
        </is>
      </c>
      <c r="B10" s="9">
        <f>COUNTIF(Bets!$J$2:$J$201,"W")+COUNTIF(Bets!$J$2:$J$201,"L")+COUNTIF(Bets!$J$2:$J$201,"P")</f>
        <v/>
      </c>
    </row>
    <row r="11">
      <c r="A11" s="2" t="inlineStr">
        <is>
          <t>Pending</t>
        </is>
      </c>
      <c r="B11" s="9">
        <f>COUNTIF(Bets!$J$2:$J$201,"Pending")</f>
        <v/>
      </c>
    </row>
    <row r="12">
      <c r="A12" s="2" t="inlineStr">
        <is>
          <t>Record (W-L-P)</t>
        </is>
      </c>
      <c r="B12" s="10">
        <f>COUNTIF(Bets!$J$2:$J$201,"W")&amp;"-"&amp;COUNTIF(Bets!$J$2:$J$201,"L")&amp;"-"&amp;COUNTIF(Bets!$J$2:$J$201,"P")</f>
        <v/>
      </c>
    </row>
    <row r="13">
      <c r="A13" s="2" t="inlineStr">
        <is>
          <t>Win %</t>
        </is>
      </c>
      <c r="B13" s="11">
        <f>IFERROR(COUNTIF(Bets!$J$2:$J$201,"W")/(COUNTIF(Bets!$J$2:$J$201,"W")+COUNTIF(Bets!$J$2:$J$201,"L")),"")</f>
        <v/>
      </c>
    </row>
    <row r="14">
      <c r="A14" s="2" t="inlineStr">
        <is>
          <t>Total staked</t>
        </is>
      </c>
      <c r="B14" s="12">
        <f>SUMIF(Bets!$J$2:$J$201,"W",Bets!$F$2:$F$201)+SUMIF(Bets!$J$2:$J$201,"L",Bets!$F$2:$F$201)</f>
        <v/>
      </c>
    </row>
    <row r="15">
      <c r="A15" s="2" t="inlineStr">
        <is>
          <t>Net P&amp;L</t>
        </is>
      </c>
      <c r="B15" s="12">
        <f>SUM(Bets!$K$2:$K$201)</f>
        <v/>
      </c>
    </row>
    <row r="16">
      <c r="A16" s="2" t="inlineStr">
        <is>
          <t>ROI</t>
        </is>
      </c>
      <c r="B16" s="11">
        <f>IFERROR(SUM(Bets!$K$2:$K$201)/(SUMIF(Bets!$J$2:$J$201,"W",Bets!$F$2:$F$201)+SUMIF(Bets!$J$2:$J$201,"L",Bets!$F$2:$F$201)),"")</f>
        <v/>
      </c>
    </row>
    <row r="17">
      <c r="A17" s="2" t="inlineStr">
        <is>
          <t>Avg CLV</t>
        </is>
      </c>
      <c r="B17" s="13">
        <f>IFERROR(AVERAGE(Bets!$L$2:$L$201),"")</f>
        <v/>
      </c>
    </row>
    <row r="19">
      <c r="A19" s="8" t="inlineStr">
        <is>
          <t>BY SPORT</t>
        </is>
      </c>
    </row>
    <row r="20">
      <c r="A20" s="14" t="inlineStr">
        <is>
          <t>Sport</t>
        </is>
      </c>
      <c r="B20" s="14" t="inlineStr">
        <is>
          <t>Bets</t>
        </is>
      </c>
      <c r="C20" s="14" t="inlineStr">
        <is>
          <t>Win %</t>
        </is>
      </c>
      <c r="D20" s="14" t="inlineStr">
        <is>
          <t>P&amp;L</t>
        </is>
      </c>
    </row>
    <row r="21">
      <c r="A21" s="6" t="inlineStr">
        <is>
          <t>NBA</t>
        </is>
      </c>
      <c r="B21" s="15">
        <f>COUNTIFS(Bets!$B$2:$B$201,"NBA",Bets!$J$2:$J$201,"W")+COUNTIFS(Bets!$B$2:$B$201,"NBA",Bets!$J$2:$J$201,"L")+COUNTIFS(Bets!$B$2:$B$201,"NBA",Bets!$J$2:$J$201,"P")</f>
        <v/>
      </c>
      <c r="C21" s="16">
        <f>IFERROR(COUNTIFS(Bets!$B$2:$B$201,"NBA",Bets!$J$2:$J$201,"W")/(COUNTIFS(Bets!$B$2:$B$201,"NBA",Bets!$J$2:$J$201,"W")+COUNTIFS(Bets!$B$2:$B$201,"NBA",Bets!$J$2:$J$201,"L")),"")</f>
        <v/>
      </c>
      <c r="D21" s="17">
        <f>SUMIFS(Bets!$K$2:$K$201,Bets!$B$2:$B$201,"NBA")</f>
        <v/>
      </c>
    </row>
    <row r="22">
      <c r="A22" s="6" t="inlineStr">
        <is>
          <t>NCAAB</t>
        </is>
      </c>
      <c r="B22" s="15">
        <f>COUNTIFS(Bets!$B$2:$B$201,"NCAAB",Bets!$J$2:$J$201,"W")+COUNTIFS(Bets!$B$2:$B$201,"NCAAB",Bets!$J$2:$J$201,"L")+COUNTIFS(Bets!$B$2:$B$201,"NCAAB",Bets!$J$2:$J$201,"P")</f>
        <v/>
      </c>
      <c r="C22" s="16">
        <f>IFERROR(COUNTIFS(Bets!$B$2:$B$201,"NCAAB",Bets!$J$2:$J$201,"W")/(COUNTIFS(Bets!$B$2:$B$201,"NCAAB",Bets!$J$2:$J$201,"W")+COUNTIFS(Bets!$B$2:$B$201,"NCAAB",Bets!$J$2:$J$201,"L")),"")</f>
        <v/>
      </c>
      <c r="D22" s="17">
        <f>SUMIFS(Bets!$K$2:$K$201,Bets!$B$2:$B$201,"NCAAB")</f>
        <v/>
      </c>
    </row>
    <row r="23">
      <c r="A23" s="6" t="inlineStr">
        <is>
          <t>NFL</t>
        </is>
      </c>
      <c r="B23" s="15">
        <f>COUNTIFS(Bets!$B$2:$B$201,"NFL",Bets!$J$2:$J$201,"W")+COUNTIFS(Bets!$B$2:$B$201,"NFL",Bets!$J$2:$J$201,"L")+COUNTIFS(Bets!$B$2:$B$201,"NFL",Bets!$J$2:$J$201,"P")</f>
        <v/>
      </c>
      <c r="C23" s="16">
        <f>IFERROR(COUNTIFS(Bets!$B$2:$B$201,"NFL",Bets!$J$2:$J$201,"W")/(COUNTIFS(Bets!$B$2:$B$201,"NFL",Bets!$J$2:$J$201,"W")+COUNTIFS(Bets!$B$2:$B$201,"NFL",Bets!$J$2:$J$201,"L")),"")</f>
        <v/>
      </c>
      <c r="D23" s="17">
        <f>SUMIFS(Bets!$K$2:$K$201,Bets!$B$2:$B$201,"NFL")</f>
        <v/>
      </c>
    </row>
    <row r="24">
      <c r="A24" s="6" t="inlineStr">
        <is>
          <t>Soccer</t>
        </is>
      </c>
      <c r="B24" s="15">
        <f>COUNTIFS(Bets!$B$2:$B$201,"Soccer",Bets!$J$2:$J$201,"W")+COUNTIFS(Bets!$B$2:$B$201,"Soccer",Bets!$J$2:$J$201,"L")+COUNTIFS(Bets!$B$2:$B$201,"Soccer",Bets!$J$2:$J$201,"P")</f>
        <v/>
      </c>
      <c r="C24" s="16">
        <f>IFERROR(COUNTIFS(Bets!$B$2:$B$201,"Soccer",Bets!$J$2:$J$201,"W")/(COUNTIFS(Bets!$B$2:$B$201,"Soccer",Bets!$J$2:$J$201,"W")+COUNTIFS(Bets!$B$2:$B$201,"Soccer",Bets!$J$2:$J$201,"L")),"")</f>
        <v/>
      </c>
      <c r="D24" s="17">
        <f>SUMIFS(Bets!$K$2:$K$201,Bets!$B$2:$B$201,"Soccer")</f>
        <v/>
      </c>
    </row>
    <row r="25">
      <c r="A25" s="6" t="inlineStr">
        <is>
          <t>MLB</t>
        </is>
      </c>
      <c r="B25" s="15">
        <f>COUNTIFS(Bets!$B$2:$B$201,"MLB",Bets!$J$2:$J$201,"W")+COUNTIFS(Bets!$B$2:$B$201,"MLB",Bets!$J$2:$J$201,"L")+COUNTIFS(Bets!$B$2:$B$201,"MLB",Bets!$J$2:$J$201,"P")</f>
        <v/>
      </c>
      <c r="C25" s="16">
        <f>IFERROR(COUNTIFS(Bets!$B$2:$B$201,"MLB",Bets!$J$2:$J$201,"W")/(COUNTIFS(Bets!$B$2:$B$201,"MLB",Bets!$J$2:$J$201,"W")+COUNTIFS(Bets!$B$2:$B$201,"MLB",Bets!$J$2:$J$201,"L")),"")</f>
        <v/>
      </c>
      <c r="D25" s="17">
        <f>SUMIFS(Bets!$K$2:$K$201,Bets!$B$2:$B$201,"MLB")</f>
        <v/>
      </c>
    </row>
    <row r="26">
      <c r="A26" s="6" t="inlineStr">
        <is>
          <t>NHL</t>
        </is>
      </c>
      <c r="B26" s="15">
        <f>COUNTIFS(Bets!$B$2:$B$201,"NHL",Bets!$J$2:$J$201,"W")+COUNTIFS(Bets!$B$2:$B$201,"NHL",Bets!$J$2:$J$201,"L")+COUNTIFS(Bets!$B$2:$B$201,"NHL",Bets!$J$2:$J$201,"P")</f>
        <v/>
      </c>
      <c r="C26" s="16">
        <f>IFERROR(COUNTIFS(Bets!$B$2:$B$201,"NHL",Bets!$J$2:$J$201,"W")/(COUNTIFS(Bets!$B$2:$B$201,"NHL",Bets!$J$2:$J$201,"W")+COUNTIFS(Bets!$B$2:$B$201,"NHL",Bets!$J$2:$J$201,"L")),"")</f>
        <v/>
      </c>
      <c r="D26" s="17">
        <f>SUMIFS(Bets!$K$2:$K$201,Bets!$B$2:$B$201,"NHL")</f>
        <v/>
      </c>
    </row>
    <row r="27">
      <c r="A27" s="6" t="inlineStr">
        <is>
          <t>PGA</t>
        </is>
      </c>
      <c r="B27" s="15">
        <f>COUNTIFS(Bets!$B$2:$B$201,"PGA",Bets!$J$2:$J$201,"W")+COUNTIFS(Bets!$B$2:$B$201,"PGA",Bets!$J$2:$J$201,"L")+COUNTIFS(Bets!$B$2:$B$201,"PGA",Bets!$J$2:$J$201,"P")</f>
        <v/>
      </c>
      <c r="C27" s="16">
        <f>IFERROR(COUNTIFS(Bets!$B$2:$B$201,"PGA",Bets!$J$2:$J$201,"W")/(COUNTIFS(Bets!$B$2:$B$201,"PGA",Bets!$J$2:$J$201,"W")+COUNTIFS(Bets!$B$2:$B$201,"PGA",Bets!$J$2:$J$201,"L")),"")</f>
        <v/>
      </c>
      <c r="D27" s="17">
        <f>SUMIFS(Bets!$K$2:$K$201,Bets!$B$2:$B$201,"PGA")</f>
        <v/>
      </c>
    </row>
    <row r="30">
      <c r="A30" s="8" t="inlineStr">
        <is>
          <t>BY TIER</t>
        </is>
      </c>
    </row>
    <row r="31">
      <c r="A31" s="14" t="inlineStr">
        <is>
          <t>Tier</t>
        </is>
      </c>
      <c r="B31" s="14" t="inlineStr">
        <is>
          <t>Bets</t>
        </is>
      </c>
      <c r="C31" s="14" t="inlineStr">
        <is>
          <t>Win %</t>
        </is>
      </c>
      <c r="D31" s="14" t="inlineStr">
        <is>
          <t>P&amp;L</t>
        </is>
      </c>
    </row>
    <row r="32">
      <c r="A32" s="18" t="inlineStr">
        <is>
          <t>Lean</t>
        </is>
      </c>
      <c r="B32" s="15">
        <f>COUNTIFS(Bets!$E$2:$E$201,"Lean",Bets!$J$2:$J$201,"W")+COUNTIFS(Bets!$E$2:$E$201,"Lean",Bets!$J$2:$J$201,"L")+COUNTIFS(Bets!$E$2:$E$201,"Lean",Bets!$J$2:$J$201,"P")</f>
        <v/>
      </c>
      <c r="C32" s="16">
        <f>IFERROR(COUNTIFS(Bets!$E$2:$E$201,"Lean",Bets!$J$2:$J$201,"W")/(COUNTIFS(Bets!$E$2:$E$201,"Lean",Bets!$J$2:$J$201,"W")+COUNTIFS(Bets!$E$2:$E$201,"Lean",Bets!$J$2:$J$201,"L")),"")</f>
        <v/>
      </c>
      <c r="D32" s="17">
        <f>SUMIFS(Bets!$K$2:$K$201,Bets!$E$2:$E$201,"Lean")</f>
        <v/>
      </c>
    </row>
    <row r="33">
      <c r="A33" s="19" t="inlineStr">
        <is>
          <t>Standard</t>
        </is>
      </c>
      <c r="B33" s="15">
        <f>COUNTIFS(Bets!$E$2:$E$201,"Standard",Bets!$J$2:$J$201,"W")+COUNTIFS(Bets!$E$2:$E$201,"Standard",Bets!$J$2:$J$201,"L")+COUNTIFS(Bets!$E$2:$E$201,"Standard",Bets!$J$2:$J$201,"P")</f>
        <v/>
      </c>
      <c r="C33" s="16">
        <f>IFERROR(COUNTIFS(Bets!$E$2:$E$201,"Standard",Bets!$J$2:$J$201,"W")/(COUNTIFS(Bets!$E$2:$E$201,"Standard",Bets!$J$2:$J$201,"W")+COUNTIFS(Bets!$E$2:$E$201,"Standard",Bets!$J$2:$J$201,"L")),"")</f>
        <v/>
      </c>
      <c r="D33" s="17">
        <f>SUMIFS(Bets!$K$2:$K$201,Bets!$E$2:$E$201,"Standard")</f>
        <v/>
      </c>
    </row>
    <row r="34">
      <c r="A34" s="20" t="inlineStr">
        <is>
          <t>Max</t>
        </is>
      </c>
      <c r="B34" s="15">
        <f>COUNTIFS(Bets!$E$2:$E$201,"Max",Bets!$J$2:$J$201,"W")+COUNTIFS(Bets!$E$2:$E$201,"Max",Bets!$J$2:$J$201,"L")+COUNTIFS(Bets!$E$2:$E$201,"Max",Bets!$J$2:$J$201,"P")</f>
        <v/>
      </c>
      <c r="C34" s="16">
        <f>IFERROR(COUNTIFS(Bets!$E$2:$E$201,"Max",Bets!$J$2:$J$201,"W")/(COUNTIFS(Bets!$E$2:$E$201,"Max",Bets!$J$2:$J$201,"W")+COUNTIFS(Bets!$E$2:$E$201,"Max",Bets!$J$2:$J$201,"L")),"")</f>
        <v/>
      </c>
      <c r="D34" s="17">
        <f>SUMIFS(Bets!$K$2:$K$201,Bets!$E$2:$E$201,"Max")</f>
        <v/>
      </c>
    </row>
    <row r="35">
      <c r="A35" s="21" t="inlineStr">
        <is>
          <t>Parlay</t>
        </is>
      </c>
      <c r="B35" s="15">
        <f>COUNTIFS(Bets!$E$2:$E$201,"Parlay",Bets!$J$2:$J$201,"W")+COUNTIFS(Bets!$E$2:$E$201,"Parlay",Bets!$J$2:$J$201,"L")+COUNTIFS(Bets!$E$2:$E$201,"Parlay",Bets!$J$2:$J$201,"P")</f>
        <v/>
      </c>
      <c r="C35" s="16">
        <f>IFERROR(COUNTIFS(Bets!$E$2:$E$201,"Parlay",Bets!$J$2:$J$201,"W")/(COUNTIFS(Bets!$E$2:$E$201,"Parlay",Bets!$J$2:$J$201,"W")+COUNTIFS(Bets!$E$2:$E$201,"Parlay",Bets!$J$2:$J$201,"L")),"")</f>
        <v/>
      </c>
      <c r="D35" s="17">
        <f>SUMIFS(Bets!$K$2:$K$201,Bets!$E$2:$E$201,"Parlay")</f>
        <v/>
      </c>
    </row>
    <row r="37">
      <c r="A37" s="8" t="inlineStr">
        <is>
          <t>SYSTEM RULES</t>
        </is>
      </c>
    </row>
    <row r="38">
      <c r="A38" s="22" t="inlineStr">
        <is>
          <t>• Market maker, not a fan — bet the number, not the winner.</t>
        </is>
      </c>
    </row>
    <row r="39">
      <c r="A39" s="22" t="inlineStr">
        <is>
          <t>• Juice ceiling: standard markets -110 to -115. Kill anything &gt; -120.</t>
        </is>
      </c>
    </row>
    <row r="40">
      <c r="A40" s="22" t="inlineStr">
        <is>
          <t>• Softness (softest first): 1H tot &gt; 2H tot &gt; spreads on key # &gt; small dogs (+100..+180) &gt; full-game totals.</t>
        </is>
      </c>
    </row>
    <row r="41">
      <c r="A41" s="22" t="inlineStr">
        <is>
          <t>• CLV is the only weekly metric. +0.3 avg CLV = profitable even in red months.</t>
        </is>
      </c>
    </row>
    <row r="42">
      <c r="A42" s="22" t="inlineStr">
        <is>
          <t>• Cap 5 bets week one. Default LEAN until 10 logged with real CLV.</t>
        </is>
      </c>
    </row>
    <row r="43">
      <c r="A43" s="22" t="inlineStr">
        <is>
          <t>• Log closing line within 1 hr of game start (Pikkit). 5-10 bets/week, weekday cap 3, never chase.</t>
        </is>
      </c>
    </row>
    <row r="44">
      <c r="A44" s="22" t="inlineStr">
        <is>
          <t>• Sizing: Lean $295 / Standard $510 / Max $900 / Parlay $25-$50 (2-leg cross-game).</t>
        </is>
      </c>
    </row>
  </sheetData>
  <mergeCells count="7">
    <mergeCell ref="A38:F38"/>
    <mergeCell ref="A41:F41"/>
    <mergeCell ref="A42:F42"/>
    <mergeCell ref="A44:F44"/>
    <mergeCell ref="A40:F40"/>
    <mergeCell ref="A39:F39"/>
    <mergeCell ref="A43:F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0" customWidth="1" min="3" max="3"/>
    <col width="28" customWidth="1" min="4" max="4"/>
    <col width="11" customWidth="1" min="5" max="5"/>
    <col width="10" customWidth="1" min="6" max="6"/>
    <col width="12" customWidth="1" min="7" max="7"/>
    <col width="9" customWidth="1" min="8" max="8"/>
    <col width="9" customWidth="1" min="9" max="9"/>
    <col width="9" customWidth="1" min="10" max="10"/>
    <col width="11" customWidth="1" min="11" max="11"/>
    <col width="9" customWidth="1" min="12" max="12"/>
  </cols>
  <sheetData>
    <row r="1">
      <c r="A1" s="14" t="inlineStr">
        <is>
          <t>Date</t>
        </is>
      </c>
      <c r="B1" s="14" t="inlineStr">
        <is>
          <t>Sport</t>
        </is>
      </c>
      <c r="C1" s="14" t="inlineStr">
        <is>
          <t>Bet Type</t>
        </is>
      </c>
      <c r="D1" s="14" t="inlineStr">
        <is>
          <t>Selection</t>
        </is>
      </c>
      <c r="E1" s="14" t="inlineStr">
        <is>
          <t>Tier</t>
        </is>
      </c>
      <c r="F1" s="14" t="inlineStr">
        <is>
          <t>Stake ($)</t>
        </is>
      </c>
      <c r="G1" s="14" t="inlineStr">
        <is>
          <t>Odds (Amer.)</t>
        </is>
      </c>
      <c r="H1" s="14" t="inlineStr">
        <is>
          <t>Bet #</t>
        </is>
      </c>
      <c r="I1" s="14" t="inlineStr">
        <is>
          <t>Close #</t>
        </is>
      </c>
      <c r="J1" s="14" t="inlineStr">
        <is>
          <t>Result</t>
        </is>
      </c>
      <c r="K1" s="14" t="inlineStr">
        <is>
          <t>P&amp;L ($)</t>
        </is>
      </c>
      <c r="L1" s="14" t="inlineStr">
        <is>
          <t>CLV</t>
        </is>
      </c>
    </row>
    <row r="2">
      <c r="A2" s="23" t="n"/>
      <c r="B2" s="15" t="n"/>
      <c r="C2" s="15" t="n"/>
      <c r="D2" s="15" t="n"/>
      <c r="E2" s="15" t="n"/>
      <c r="F2" s="17">
        <f>IF($E2="","",IF($E2="Lean",Dashboard!$B$4,IF($E2="Standard",Dashboard!$B$5,IF($E2="Max",Dashboard!$B$6,IF($E2="Parlay",Dashboard!$B$7,"")))))</f>
        <v/>
      </c>
      <c r="G2" s="15" t="n"/>
      <c r="H2" s="15" t="n"/>
      <c r="I2" s="15" t="n"/>
      <c r="J2" s="15" t="n"/>
      <c r="K2" s="17">
        <f>IF($J2="","",IF($J2="Pending","",IF($J2="P",0,IF($J2="L",-$F2,IF($G2="","",IF($G2&gt;0,$F2*$G2/100,$F2*100/ABS($G2)))))))</f>
        <v/>
      </c>
      <c r="L2" s="24">
        <f>IF(OR($H2="",$I2=""),"",IF($C2="Spread",$H2-$I2,IF($C2="Under",$H2-$I2,IF($C2="Over",$I2-$H2,IF($C2="ML",(IF($I2&gt;0,100/($I2+100),ABS($I2)/(ABS($I2)+100))-IF($H2&gt;0,100/($H2+100),ABS($H2)/(ABS($H2)+100)))*100,"")))))</f>
        <v/>
      </c>
    </row>
    <row r="3">
      <c r="A3" s="23" t="n"/>
      <c r="B3" s="15" t="n"/>
      <c r="C3" s="15" t="n"/>
      <c r="D3" s="15" t="n"/>
      <c r="E3" s="15" t="n"/>
      <c r="F3" s="17">
        <f>IF($E3="","",IF($E3="Lean",Dashboard!$B$4,IF($E3="Standard",Dashboard!$B$5,IF($E3="Max",Dashboard!$B$6,IF($E3="Parlay",Dashboard!$B$7,"")))))</f>
        <v/>
      </c>
      <c r="G3" s="15" t="n"/>
      <c r="H3" s="15" t="n"/>
      <c r="I3" s="15" t="n"/>
      <c r="J3" s="15" t="n"/>
      <c r="K3" s="17">
        <f>IF($J3="","",IF($J3="Pending","",IF($J3="P",0,IF($J3="L",-$F3,IF($G3="","",IF($G3&gt;0,$F3*$G3/100,$F3*100/ABS($G3)))))))</f>
        <v/>
      </c>
      <c r="L3" s="24">
        <f>IF(OR($H3="",$I3=""),"",IF($C3="Spread",$H3-$I3,IF($C3="Under",$H3-$I3,IF($C3="Over",$I3-$H3,IF($C3="ML",(IF($I3&gt;0,100/($I3+100),ABS($I3)/(ABS($I3)+100))-IF($H3&gt;0,100/($H3+100),ABS($H3)/(ABS($H3)+100)))*100,"")))))</f>
        <v/>
      </c>
    </row>
    <row r="4">
      <c r="A4" s="23" t="n"/>
      <c r="B4" s="15" t="n"/>
      <c r="C4" s="15" t="n"/>
      <c r="D4" s="15" t="n"/>
      <c r="E4" s="15" t="n"/>
      <c r="F4" s="17">
        <f>IF($E4="","",IF($E4="Lean",Dashboard!$B$4,IF($E4="Standard",Dashboard!$B$5,IF($E4="Max",Dashboard!$B$6,IF($E4="Parlay",Dashboard!$B$7,"")))))</f>
        <v/>
      </c>
      <c r="G4" s="15" t="n"/>
      <c r="H4" s="15" t="n"/>
      <c r="I4" s="15" t="n"/>
      <c r="J4" s="15" t="n"/>
      <c r="K4" s="17">
        <f>IF($J4="","",IF($J4="Pending","",IF($J4="P",0,IF($J4="L",-$F4,IF($G4="","",IF($G4&gt;0,$F4*$G4/100,$F4*100/ABS($G4)))))))</f>
        <v/>
      </c>
      <c r="L4" s="24">
        <f>IF(OR($H4="",$I4=""),"",IF($C4="Spread",$H4-$I4,IF($C4="Under",$H4-$I4,IF($C4="Over",$I4-$H4,IF($C4="ML",(IF($I4&gt;0,100/($I4+100),ABS($I4)/(ABS($I4)+100))-IF($H4&gt;0,100/($H4+100),ABS($H4)/(ABS($H4)+100)))*100,"")))))</f>
        <v/>
      </c>
    </row>
    <row r="5">
      <c r="A5" s="23" t="n"/>
      <c r="B5" s="15" t="n"/>
      <c r="C5" s="15" t="n"/>
      <c r="D5" s="15" t="n"/>
      <c r="E5" s="15" t="n"/>
      <c r="F5" s="17">
        <f>IF($E5="","",IF($E5="Lean",Dashboard!$B$4,IF($E5="Standard",Dashboard!$B$5,IF($E5="Max",Dashboard!$B$6,IF($E5="Parlay",Dashboard!$B$7,"")))))</f>
        <v/>
      </c>
      <c r="G5" s="15" t="n"/>
      <c r="H5" s="15" t="n"/>
      <c r="I5" s="15" t="n"/>
      <c r="J5" s="15" t="n"/>
      <c r="K5" s="17">
        <f>IF($J5="","",IF($J5="Pending","",IF($J5="P",0,IF($J5="L",-$F5,IF($G5="","",IF($G5&gt;0,$F5*$G5/100,$F5*100/ABS($G5)))))))</f>
        <v/>
      </c>
      <c r="L5" s="24">
        <f>IF(OR($H5="",$I5=""),"",IF($C5="Spread",$H5-$I5,IF($C5="Under",$H5-$I5,IF($C5="Over",$I5-$H5,IF($C5="ML",(IF($I5&gt;0,100/($I5+100),ABS($I5)/(ABS($I5)+100))-IF($H5&gt;0,100/($H5+100),ABS($H5)/(ABS($H5)+100)))*100,"")))))</f>
        <v/>
      </c>
    </row>
    <row r="6">
      <c r="A6" s="23" t="n"/>
      <c r="B6" s="15" t="n"/>
      <c r="C6" s="15" t="n"/>
      <c r="D6" s="15" t="n"/>
      <c r="E6" s="15" t="n"/>
      <c r="F6" s="17">
        <f>IF($E6="","",IF($E6="Lean",Dashboard!$B$4,IF($E6="Standard",Dashboard!$B$5,IF($E6="Max",Dashboard!$B$6,IF($E6="Parlay",Dashboard!$B$7,"")))))</f>
        <v/>
      </c>
      <c r="G6" s="15" t="n"/>
      <c r="H6" s="15" t="n"/>
      <c r="I6" s="15" t="n"/>
      <c r="J6" s="15" t="n"/>
      <c r="K6" s="17">
        <f>IF($J6="","",IF($J6="Pending","",IF($J6="P",0,IF($J6="L",-$F6,IF($G6="","",IF($G6&gt;0,$F6*$G6/100,$F6*100/ABS($G6)))))))</f>
        <v/>
      </c>
      <c r="L6" s="24">
        <f>IF(OR($H6="",$I6=""),"",IF($C6="Spread",$H6-$I6,IF($C6="Under",$H6-$I6,IF($C6="Over",$I6-$H6,IF($C6="ML",(IF($I6&gt;0,100/($I6+100),ABS($I6)/(ABS($I6)+100))-IF($H6&gt;0,100/($H6+100),ABS($H6)/(ABS($H6)+100)))*100,"")))))</f>
        <v/>
      </c>
    </row>
    <row r="7">
      <c r="A7" s="23" t="n"/>
      <c r="B7" s="15" t="n"/>
      <c r="C7" s="15" t="n"/>
      <c r="D7" s="15" t="n"/>
      <c r="E7" s="15" t="n"/>
      <c r="F7" s="17">
        <f>IF($E7="","",IF($E7="Lean",Dashboard!$B$4,IF($E7="Standard",Dashboard!$B$5,IF($E7="Max",Dashboard!$B$6,IF($E7="Parlay",Dashboard!$B$7,"")))))</f>
        <v/>
      </c>
      <c r="G7" s="15" t="n"/>
      <c r="H7" s="15" t="n"/>
      <c r="I7" s="15" t="n"/>
      <c r="J7" s="15" t="n"/>
      <c r="K7" s="17">
        <f>IF($J7="","",IF($J7="Pending","",IF($J7="P",0,IF($J7="L",-$F7,IF($G7="","",IF($G7&gt;0,$F7*$G7/100,$F7*100/ABS($G7)))))))</f>
        <v/>
      </c>
      <c r="L7" s="24">
        <f>IF(OR($H7="",$I7=""),"",IF($C7="Spread",$H7-$I7,IF($C7="Under",$H7-$I7,IF($C7="Over",$I7-$H7,IF($C7="ML",(IF($I7&gt;0,100/($I7+100),ABS($I7)/(ABS($I7)+100))-IF($H7&gt;0,100/($H7+100),ABS($H7)/(ABS($H7)+100)))*100,"")))))</f>
        <v/>
      </c>
    </row>
    <row r="8">
      <c r="A8" s="23" t="n"/>
      <c r="B8" s="15" t="n"/>
      <c r="C8" s="15" t="n"/>
      <c r="D8" s="15" t="n"/>
      <c r="E8" s="15" t="n"/>
      <c r="F8" s="17">
        <f>IF($E8="","",IF($E8="Lean",Dashboard!$B$4,IF($E8="Standard",Dashboard!$B$5,IF($E8="Max",Dashboard!$B$6,IF($E8="Parlay",Dashboard!$B$7,"")))))</f>
        <v/>
      </c>
      <c r="G8" s="15" t="n"/>
      <c r="H8" s="15" t="n"/>
      <c r="I8" s="15" t="n"/>
      <c r="J8" s="15" t="n"/>
      <c r="K8" s="17">
        <f>IF($J8="","",IF($J8="Pending","",IF($J8="P",0,IF($J8="L",-$F8,IF($G8="","",IF($G8&gt;0,$F8*$G8/100,$F8*100/ABS($G8)))))))</f>
        <v/>
      </c>
      <c r="L8" s="24">
        <f>IF(OR($H8="",$I8=""),"",IF($C8="Spread",$H8-$I8,IF($C8="Under",$H8-$I8,IF($C8="Over",$I8-$H8,IF($C8="ML",(IF($I8&gt;0,100/($I8+100),ABS($I8)/(ABS($I8)+100))-IF($H8&gt;0,100/($H8+100),ABS($H8)/(ABS($H8)+100)))*100,"")))))</f>
        <v/>
      </c>
    </row>
    <row r="9">
      <c r="A9" s="23" t="n"/>
      <c r="B9" s="15" t="n"/>
      <c r="C9" s="15" t="n"/>
      <c r="D9" s="15" t="n"/>
      <c r="E9" s="15" t="n"/>
      <c r="F9" s="17">
        <f>IF($E9="","",IF($E9="Lean",Dashboard!$B$4,IF($E9="Standard",Dashboard!$B$5,IF($E9="Max",Dashboard!$B$6,IF($E9="Parlay",Dashboard!$B$7,"")))))</f>
        <v/>
      </c>
      <c r="G9" s="15" t="n"/>
      <c r="H9" s="15" t="n"/>
      <c r="I9" s="15" t="n"/>
      <c r="J9" s="15" t="n"/>
      <c r="K9" s="17">
        <f>IF($J9="","",IF($J9="Pending","",IF($J9="P",0,IF($J9="L",-$F9,IF($G9="","",IF($G9&gt;0,$F9*$G9/100,$F9*100/ABS($G9)))))))</f>
        <v/>
      </c>
      <c r="L9" s="24">
        <f>IF(OR($H9="",$I9=""),"",IF($C9="Spread",$H9-$I9,IF($C9="Under",$H9-$I9,IF($C9="Over",$I9-$H9,IF($C9="ML",(IF($I9&gt;0,100/($I9+100),ABS($I9)/(ABS($I9)+100))-IF($H9&gt;0,100/($H9+100),ABS($H9)/(ABS($H9)+100)))*100,"")))))</f>
        <v/>
      </c>
    </row>
    <row r="10">
      <c r="A10" s="23" t="n"/>
      <c r="B10" s="15" t="n"/>
      <c r="C10" s="15" t="n"/>
      <c r="D10" s="15" t="n"/>
      <c r="E10" s="15" t="n"/>
      <c r="F10" s="17">
        <f>IF($E10="","",IF($E10="Lean",Dashboard!$B$4,IF($E10="Standard",Dashboard!$B$5,IF($E10="Max",Dashboard!$B$6,IF($E10="Parlay",Dashboard!$B$7,"")))))</f>
        <v/>
      </c>
      <c r="G10" s="15" t="n"/>
      <c r="H10" s="15" t="n"/>
      <c r="I10" s="15" t="n"/>
      <c r="J10" s="15" t="n"/>
      <c r="K10" s="17">
        <f>IF($J10="","",IF($J10="Pending","",IF($J10="P",0,IF($J10="L",-$F10,IF($G10="","",IF($G10&gt;0,$F10*$G10/100,$F10*100/ABS($G10)))))))</f>
        <v/>
      </c>
      <c r="L10" s="24">
        <f>IF(OR($H10="",$I10=""),"",IF($C10="Spread",$H10-$I10,IF($C10="Under",$H10-$I10,IF($C10="Over",$I10-$H10,IF($C10="ML",(IF($I10&gt;0,100/($I10+100),ABS($I10)/(ABS($I10)+100))-IF($H10&gt;0,100/($H10+100),ABS($H10)/(ABS($H10)+100)))*100,"")))))</f>
        <v/>
      </c>
    </row>
    <row r="11">
      <c r="A11" s="23" t="n"/>
      <c r="B11" s="15" t="n"/>
      <c r="C11" s="15" t="n"/>
      <c r="D11" s="15" t="n"/>
      <c r="E11" s="15" t="n"/>
      <c r="F11" s="17">
        <f>IF($E11="","",IF($E11="Lean",Dashboard!$B$4,IF($E11="Standard",Dashboard!$B$5,IF($E11="Max",Dashboard!$B$6,IF($E11="Parlay",Dashboard!$B$7,"")))))</f>
        <v/>
      </c>
      <c r="G11" s="15" t="n"/>
      <c r="H11" s="15" t="n"/>
      <c r="I11" s="15" t="n"/>
      <c r="J11" s="15" t="n"/>
      <c r="K11" s="17">
        <f>IF($J11="","",IF($J11="Pending","",IF($J11="P",0,IF($J11="L",-$F11,IF($G11="","",IF($G11&gt;0,$F11*$G11/100,$F11*100/ABS($G11)))))))</f>
        <v/>
      </c>
      <c r="L11" s="24">
        <f>IF(OR($H11="",$I11=""),"",IF($C11="Spread",$H11-$I11,IF($C11="Under",$H11-$I11,IF($C11="Over",$I11-$H11,IF($C11="ML",(IF($I11&gt;0,100/($I11+100),ABS($I11)/(ABS($I11)+100))-IF($H11&gt;0,100/($H11+100),ABS($H11)/(ABS($H11)+100)))*100,"")))))</f>
        <v/>
      </c>
    </row>
    <row r="12">
      <c r="A12" s="23" t="n"/>
      <c r="B12" s="15" t="n"/>
      <c r="C12" s="15" t="n"/>
      <c r="D12" s="15" t="n"/>
      <c r="E12" s="15" t="n"/>
      <c r="F12" s="17">
        <f>IF($E12="","",IF($E12="Lean",Dashboard!$B$4,IF($E12="Standard",Dashboard!$B$5,IF($E12="Max",Dashboard!$B$6,IF($E12="Parlay",Dashboard!$B$7,"")))))</f>
        <v/>
      </c>
      <c r="G12" s="15" t="n"/>
      <c r="H12" s="15" t="n"/>
      <c r="I12" s="15" t="n"/>
      <c r="J12" s="15" t="n"/>
      <c r="K12" s="17">
        <f>IF($J12="","",IF($J12="Pending","",IF($J12="P",0,IF($J12="L",-$F12,IF($G12="","",IF($G12&gt;0,$F12*$G12/100,$F12*100/ABS($G12)))))))</f>
        <v/>
      </c>
      <c r="L12" s="24">
        <f>IF(OR($H12="",$I12=""),"",IF($C12="Spread",$H12-$I12,IF($C12="Under",$H12-$I12,IF($C12="Over",$I12-$H12,IF($C12="ML",(IF($I12&gt;0,100/($I12+100),ABS($I12)/(ABS($I12)+100))-IF($H12&gt;0,100/($H12+100),ABS($H12)/(ABS($H12)+100)))*100,"")))))</f>
        <v/>
      </c>
    </row>
    <row r="13">
      <c r="A13" s="23" t="n"/>
      <c r="B13" s="15" t="n"/>
      <c r="C13" s="15" t="n"/>
      <c r="D13" s="15" t="n"/>
      <c r="E13" s="15" t="n"/>
      <c r="F13" s="17">
        <f>IF($E13="","",IF($E13="Lean",Dashboard!$B$4,IF($E13="Standard",Dashboard!$B$5,IF($E13="Max",Dashboard!$B$6,IF($E13="Parlay",Dashboard!$B$7,"")))))</f>
        <v/>
      </c>
      <c r="G13" s="15" t="n"/>
      <c r="H13" s="15" t="n"/>
      <c r="I13" s="15" t="n"/>
      <c r="J13" s="15" t="n"/>
      <c r="K13" s="17">
        <f>IF($J13="","",IF($J13="Pending","",IF($J13="P",0,IF($J13="L",-$F13,IF($G13="","",IF($G13&gt;0,$F13*$G13/100,$F13*100/ABS($G13)))))))</f>
        <v/>
      </c>
      <c r="L13" s="24">
        <f>IF(OR($H13="",$I13=""),"",IF($C13="Spread",$H13-$I13,IF($C13="Under",$H13-$I13,IF($C13="Over",$I13-$H13,IF($C13="ML",(IF($I13&gt;0,100/($I13+100),ABS($I13)/(ABS($I13)+100))-IF($H13&gt;0,100/($H13+100),ABS($H13)/(ABS($H13)+100)))*100,"")))))</f>
        <v/>
      </c>
    </row>
    <row r="14">
      <c r="A14" s="23" t="n"/>
      <c r="B14" s="15" t="n"/>
      <c r="C14" s="15" t="n"/>
      <c r="D14" s="15" t="n"/>
      <c r="E14" s="15" t="n"/>
      <c r="F14" s="17">
        <f>IF($E14="","",IF($E14="Lean",Dashboard!$B$4,IF($E14="Standard",Dashboard!$B$5,IF($E14="Max",Dashboard!$B$6,IF($E14="Parlay",Dashboard!$B$7,"")))))</f>
        <v/>
      </c>
      <c r="G14" s="15" t="n"/>
      <c r="H14" s="15" t="n"/>
      <c r="I14" s="15" t="n"/>
      <c r="J14" s="15" t="n"/>
      <c r="K14" s="17">
        <f>IF($J14="","",IF($J14="Pending","",IF($J14="P",0,IF($J14="L",-$F14,IF($G14="","",IF($G14&gt;0,$F14*$G14/100,$F14*100/ABS($G14)))))))</f>
        <v/>
      </c>
      <c r="L14" s="24">
        <f>IF(OR($H14="",$I14=""),"",IF($C14="Spread",$H14-$I14,IF($C14="Under",$H14-$I14,IF($C14="Over",$I14-$H14,IF($C14="ML",(IF($I14&gt;0,100/($I14+100),ABS($I14)/(ABS($I14)+100))-IF($H14&gt;0,100/($H14+100),ABS($H14)/(ABS($H14)+100)))*100,"")))))</f>
        <v/>
      </c>
    </row>
    <row r="15">
      <c r="A15" s="23" t="n"/>
      <c r="B15" s="15" t="n"/>
      <c r="C15" s="15" t="n"/>
      <c r="D15" s="15" t="n"/>
      <c r="E15" s="15" t="n"/>
      <c r="F15" s="17">
        <f>IF($E15="","",IF($E15="Lean",Dashboard!$B$4,IF($E15="Standard",Dashboard!$B$5,IF($E15="Max",Dashboard!$B$6,IF($E15="Parlay",Dashboard!$B$7,"")))))</f>
        <v/>
      </c>
      <c r="G15" s="15" t="n"/>
      <c r="H15" s="15" t="n"/>
      <c r="I15" s="15" t="n"/>
      <c r="J15" s="15" t="n"/>
      <c r="K15" s="17">
        <f>IF($J15="","",IF($J15="Pending","",IF($J15="P",0,IF($J15="L",-$F15,IF($G15="","",IF($G15&gt;0,$F15*$G15/100,$F15*100/ABS($G15)))))))</f>
        <v/>
      </c>
      <c r="L15" s="24">
        <f>IF(OR($H15="",$I15=""),"",IF($C15="Spread",$H15-$I15,IF($C15="Under",$H15-$I15,IF($C15="Over",$I15-$H15,IF($C15="ML",(IF($I15&gt;0,100/($I15+100),ABS($I15)/(ABS($I15)+100))-IF($H15&gt;0,100/($H15+100),ABS($H15)/(ABS($H15)+100)))*100,"")))))</f>
        <v/>
      </c>
    </row>
    <row r="16">
      <c r="A16" s="23" t="n"/>
      <c r="B16" s="15" t="n"/>
      <c r="C16" s="15" t="n"/>
      <c r="D16" s="15" t="n"/>
      <c r="E16" s="15" t="n"/>
      <c r="F16" s="17">
        <f>IF($E16="","",IF($E16="Lean",Dashboard!$B$4,IF($E16="Standard",Dashboard!$B$5,IF($E16="Max",Dashboard!$B$6,IF($E16="Parlay",Dashboard!$B$7,"")))))</f>
        <v/>
      </c>
      <c r="G16" s="15" t="n"/>
      <c r="H16" s="15" t="n"/>
      <c r="I16" s="15" t="n"/>
      <c r="J16" s="15" t="n"/>
      <c r="K16" s="17">
        <f>IF($J16="","",IF($J16="Pending","",IF($J16="P",0,IF($J16="L",-$F16,IF($G16="","",IF($G16&gt;0,$F16*$G16/100,$F16*100/ABS($G16)))))))</f>
        <v/>
      </c>
      <c r="L16" s="24">
        <f>IF(OR($H16="",$I16=""),"",IF($C16="Spread",$H16-$I16,IF($C16="Under",$H16-$I16,IF($C16="Over",$I16-$H16,IF($C16="ML",(IF($I16&gt;0,100/($I16+100),ABS($I16)/(ABS($I16)+100))-IF($H16&gt;0,100/($H16+100),ABS($H16)/(ABS($H16)+100)))*100,"")))))</f>
        <v/>
      </c>
    </row>
    <row r="17">
      <c r="A17" s="23" t="n"/>
      <c r="B17" s="15" t="n"/>
      <c r="C17" s="15" t="n"/>
      <c r="D17" s="15" t="n"/>
      <c r="E17" s="15" t="n"/>
      <c r="F17" s="17">
        <f>IF($E17="","",IF($E17="Lean",Dashboard!$B$4,IF($E17="Standard",Dashboard!$B$5,IF($E17="Max",Dashboard!$B$6,IF($E17="Parlay",Dashboard!$B$7,"")))))</f>
        <v/>
      </c>
      <c r="G17" s="15" t="n"/>
      <c r="H17" s="15" t="n"/>
      <c r="I17" s="15" t="n"/>
      <c r="J17" s="15" t="n"/>
      <c r="K17" s="17">
        <f>IF($J17="","",IF($J17="Pending","",IF($J17="P",0,IF($J17="L",-$F17,IF($G17="","",IF($G17&gt;0,$F17*$G17/100,$F17*100/ABS($G17)))))))</f>
        <v/>
      </c>
      <c r="L17" s="24">
        <f>IF(OR($H17="",$I17=""),"",IF($C17="Spread",$H17-$I17,IF($C17="Under",$H17-$I17,IF($C17="Over",$I17-$H17,IF($C17="ML",(IF($I17&gt;0,100/($I17+100),ABS($I17)/(ABS($I17)+100))-IF($H17&gt;0,100/($H17+100),ABS($H17)/(ABS($H17)+100)))*100,"")))))</f>
        <v/>
      </c>
    </row>
    <row r="18">
      <c r="A18" s="23" t="n"/>
      <c r="B18" s="15" t="n"/>
      <c r="C18" s="15" t="n"/>
      <c r="D18" s="15" t="n"/>
      <c r="E18" s="15" t="n"/>
      <c r="F18" s="17">
        <f>IF($E18="","",IF($E18="Lean",Dashboard!$B$4,IF($E18="Standard",Dashboard!$B$5,IF($E18="Max",Dashboard!$B$6,IF($E18="Parlay",Dashboard!$B$7,"")))))</f>
        <v/>
      </c>
      <c r="G18" s="15" t="n"/>
      <c r="H18" s="15" t="n"/>
      <c r="I18" s="15" t="n"/>
      <c r="J18" s="15" t="n"/>
      <c r="K18" s="17">
        <f>IF($J18="","",IF($J18="Pending","",IF($J18="P",0,IF($J18="L",-$F18,IF($G18="","",IF($G18&gt;0,$F18*$G18/100,$F18*100/ABS($G18)))))))</f>
        <v/>
      </c>
      <c r="L18" s="24">
        <f>IF(OR($H18="",$I18=""),"",IF($C18="Spread",$H18-$I18,IF($C18="Under",$H18-$I18,IF($C18="Over",$I18-$H18,IF($C18="ML",(IF($I18&gt;0,100/($I18+100),ABS($I18)/(ABS($I18)+100))-IF($H18&gt;0,100/($H18+100),ABS($H18)/(ABS($H18)+100)))*100,"")))))</f>
        <v/>
      </c>
    </row>
    <row r="19">
      <c r="A19" s="23" t="n"/>
      <c r="B19" s="15" t="n"/>
      <c r="C19" s="15" t="n"/>
      <c r="D19" s="15" t="n"/>
      <c r="E19" s="15" t="n"/>
      <c r="F19" s="17">
        <f>IF($E19="","",IF($E19="Lean",Dashboard!$B$4,IF($E19="Standard",Dashboard!$B$5,IF($E19="Max",Dashboard!$B$6,IF($E19="Parlay",Dashboard!$B$7,"")))))</f>
        <v/>
      </c>
      <c r="G19" s="15" t="n"/>
      <c r="H19" s="15" t="n"/>
      <c r="I19" s="15" t="n"/>
      <c r="J19" s="15" t="n"/>
      <c r="K19" s="17">
        <f>IF($J19="","",IF($J19="Pending","",IF($J19="P",0,IF($J19="L",-$F19,IF($G19="","",IF($G19&gt;0,$F19*$G19/100,$F19*100/ABS($G19)))))))</f>
        <v/>
      </c>
      <c r="L19" s="24">
        <f>IF(OR($H19="",$I19=""),"",IF($C19="Spread",$H19-$I19,IF($C19="Under",$H19-$I19,IF($C19="Over",$I19-$H19,IF($C19="ML",(IF($I19&gt;0,100/($I19+100),ABS($I19)/(ABS($I19)+100))-IF($H19&gt;0,100/($H19+100),ABS($H19)/(ABS($H19)+100)))*100,"")))))</f>
        <v/>
      </c>
    </row>
    <row r="20">
      <c r="A20" s="23" t="n"/>
      <c r="B20" s="15" t="n"/>
      <c r="C20" s="15" t="n"/>
      <c r="D20" s="15" t="n"/>
      <c r="E20" s="15" t="n"/>
      <c r="F20" s="17">
        <f>IF($E20="","",IF($E20="Lean",Dashboard!$B$4,IF($E20="Standard",Dashboard!$B$5,IF($E20="Max",Dashboard!$B$6,IF($E20="Parlay",Dashboard!$B$7,"")))))</f>
        <v/>
      </c>
      <c r="G20" s="15" t="n"/>
      <c r="H20" s="15" t="n"/>
      <c r="I20" s="15" t="n"/>
      <c r="J20" s="15" t="n"/>
      <c r="K20" s="17">
        <f>IF($J20="","",IF($J20="Pending","",IF($J20="P",0,IF($J20="L",-$F20,IF($G20="","",IF($G20&gt;0,$F20*$G20/100,$F20*100/ABS($G20)))))))</f>
        <v/>
      </c>
      <c r="L20" s="24">
        <f>IF(OR($H20="",$I20=""),"",IF($C20="Spread",$H20-$I20,IF($C20="Under",$H20-$I20,IF($C20="Over",$I20-$H20,IF($C20="ML",(IF($I20&gt;0,100/($I20+100),ABS($I20)/(ABS($I20)+100))-IF($H20&gt;0,100/($H20+100),ABS($H20)/(ABS($H20)+100)))*100,"")))))</f>
        <v/>
      </c>
    </row>
    <row r="21">
      <c r="A21" s="23" t="n"/>
      <c r="B21" s="15" t="n"/>
      <c r="C21" s="15" t="n"/>
      <c r="D21" s="15" t="n"/>
      <c r="E21" s="15" t="n"/>
      <c r="F21" s="17">
        <f>IF($E21="","",IF($E21="Lean",Dashboard!$B$4,IF($E21="Standard",Dashboard!$B$5,IF($E21="Max",Dashboard!$B$6,IF($E21="Parlay",Dashboard!$B$7,"")))))</f>
        <v/>
      </c>
      <c r="G21" s="15" t="n"/>
      <c r="H21" s="15" t="n"/>
      <c r="I21" s="15" t="n"/>
      <c r="J21" s="15" t="n"/>
      <c r="K21" s="17">
        <f>IF($J21="","",IF($J21="Pending","",IF($J21="P",0,IF($J21="L",-$F21,IF($G21="","",IF($G21&gt;0,$F21*$G21/100,$F21*100/ABS($G21)))))))</f>
        <v/>
      </c>
      <c r="L21" s="24">
        <f>IF(OR($H21="",$I21=""),"",IF($C21="Spread",$H21-$I21,IF($C21="Under",$H21-$I21,IF($C21="Over",$I21-$H21,IF($C21="ML",(IF($I21&gt;0,100/($I21+100),ABS($I21)/(ABS($I21)+100))-IF($H21&gt;0,100/($H21+100),ABS($H21)/(ABS($H21)+100)))*100,"")))))</f>
        <v/>
      </c>
    </row>
    <row r="22">
      <c r="A22" s="23" t="n"/>
      <c r="B22" s="15" t="n"/>
      <c r="C22" s="15" t="n"/>
      <c r="D22" s="15" t="n"/>
      <c r="E22" s="15" t="n"/>
      <c r="F22" s="17">
        <f>IF($E22="","",IF($E22="Lean",Dashboard!$B$4,IF($E22="Standard",Dashboard!$B$5,IF($E22="Max",Dashboard!$B$6,IF($E22="Parlay",Dashboard!$B$7,"")))))</f>
        <v/>
      </c>
      <c r="G22" s="15" t="n"/>
      <c r="H22" s="15" t="n"/>
      <c r="I22" s="15" t="n"/>
      <c r="J22" s="15" t="n"/>
      <c r="K22" s="17">
        <f>IF($J22="","",IF($J22="Pending","",IF($J22="P",0,IF($J22="L",-$F22,IF($G22="","",IF($G22&gt;0,$F22*$G22/100,$F22*100/ABS($G22)))))))</f>
        <v/>
      </c>
      <c r="L22" s="24">
        <f>IF(OR($H22="",$I22=""),"",IF($C22="Spread",$H22-$I22,IF($C22="Under",$H22-$I22,IF($C22="Over",$I22-$H22,IF($C22="ML",(IF($I22&gt;0,100/($I22+100),ABS($I22)/(ABS($I22)+100))-IF($H22&gt;0,100/($H22+100),ABS($H22)/(ABS($H22)+100)))*100,"")))))</f>
        <v/>
      </c>
    </row>
    <row r="23">
      <c r="A23" s="23" t="n"/>
      <c r="B23" s="15" t="n"/>
      <c r="C23" s="15" t="n"/>
      <c r="D23" s="15" t="n"/>
      <c r="E23" s="15" t="n"/>
      <c r="F23" s="17">
        <f>IF($E23="","",IF($E23="Lean",Dashboard!$B$4,IF($E23="Standard",Dashboard!$B$5,IF($E23="Max",Dashboard!$B$6,IF($E23="Parlay",Dashboard!$B$7,"")))))</f>
        <v/>
      </c>
      <c r="G23" s="15" t="n"/>
      <c r="H23" s="15" t="n"/>
      <c r="I23" s="15" t="n"/>
      <c r="J23" s="15" t="n"/>
      <c r="K23" s="17">
        <f>IF($J23="","",IF($J23="Pending","",IF($J23="P",0,IF($J23="L",-$F23,IF($G23="","",IF($G23&gt;0,$F23*$G23/100,$F23*100/ABS($G23)))))))</f>
        <v/>
      </c>
      <c r="L23" s="24">
        <f>IF(OR($H23="",$I23=""),"",IF($C23="Spread",$H23-$I23,IF($C23="Under",$H23-$I23,IF($C23="Over",$I23-$H23,IF($C23="ML",(IF($I23&gt;0,100/($I23+100),ABS($I23)/(ABS($I23)+100))-IF($H23&gt;0,100/($H23+100),ABS($H23)/(ABS($H23)+100)))*100,"")))))</f>
        <v/>
      </c>
    </row>
    <row r="24">
      <c r="A24" s="23" t="n"/>
      <c r="B24" s="15" t="n"/>
      <c r="C24" s="15" t="n"/>
      <c r="D24" s="15" t="n"/>
      <c r="E24" s="15" t="n"/>
      <c r="F24" s="17">
        <f>IF($E24="","",IF($E24="Lean",Dashboard!$B$4,IF($E24="Standard",Dashboard!$B$5,IF($E24="Max",Dashboard!$B$6,IF($E24="Parlay",Dashboard!$B$7,"")))))</f>
        <v/>
      </c>
      <c r="G24" s="15" t="n"/>
      <c r="H24" s="15" t="n"/>
      <c r="I24" s="15" t="n"/>
      <c r="J24" s="15" t="n"/>
      <c r="K24" s="17">
        <f>IF($J24="","",IF($J24="Pending","",IF($J24="P",0,IF($J24="L",-$F24,IF($G24="","",IF($G24&gt;0,$F24*$G24/100,$F24*100/ABS($G24)))))))</f>
        <v/>
      </c>
      <c r="L24" s="24">
        <f>IF(OR($H24="",$I24=""),"",IF($C24="Spread",$H24-$I24,IF($C24="Under",$H24-$I24,IF($C24="Over",$I24-$H24,IF($C24="ML",(IF($I24&gt;0,100/($I24+100),ABS($I24)/(ABS($I24)+100))-IF($H24&gt;0,100/($H24+100),ABS($H24)/(ABS($H24)+100)))*100,"")))))</f>
        <v/>
      </c>
    </row>
    <row r="25">
      <c r="A25" s="23" t="n"/>
      <c r="B25" s="15" t="n"/>
      <c r="C25" s="15" t="n"/>
      <c r="D25" s="15" t="n"/>
      <c r="E25" s="15" t="n"/>
      <c r="F25" s="17">
        <f>IF($E25="","",IF($E25="Lean",Dashboard!$B$4,IF($E25="Standard",Dashboard!$B$5,IF($E25="Max",Dashboard!$B$6,IF($E25="Parlay",Dashboard!$B$7,"")))))</f>
        <v/>
      </c>
      <c r="G25" s="15" t="n"/>
      <c r="H25" s="15" t="n"/>
      <c r="I25" s="15" t="n"/>
      <c r="J25" s="15" t="n"/>
      <c r="K25" s="17">
        <f>IF($J25="","",IF($J25="Pending","",IF($J25="P",0,IF($J25="L",-$F25,IF($G25="","",IF($G25&gt;0,$F25*$G25/100,$F25*100/ABS($G25)))))))</f>
        <v/>
      </c>
      <c r="L25" s="24">
        <f>IF(OR($H25="",$I25=""),"",IF($C25="Spread",$H25-$I25,IF($C25="Under",$H25-$I25,IF($C25="Over",$I25-$H25,IF($C25="ML",(IF($I25&gt;0,100/($I25+100),ABS($I25)/(ABS($I25)+100))-IF($H25&gt;0,100/($H25+100),ABS($H25)/(ABS($H25)+100)))*100,"")))))</f>
        <v/>
      </c>
    </row>
    <row r="26">
      <c r="A26" s="23" t="n"/>
      <c r="B26" s="15" t="n"/>
      <c r="C26" s="15" t="n"/>
      <c r="D26" s="15" t="n"/>
      <c r="E26" s="15" t="n"/>
      <c r="F26" s="17">
        <f>IF($E26="","",IF($E26="Lean",Dashboard!$B$4,IF($E26="Standard",Dashboard!$B$5,IF($E26="Max",Dashboard!$B$6,IF($E26="Parlay",Dashboard!$B$7,"")))))</f>
        <v/>
      </c>
      <c r="G26" s="15" t="n"/>
      <c r="H26" s="15" t="n"/>
      <c r="I26" s="15" t="n"/>
      <c r="J26" s="15" t="n"/>
      <c r="K26" s="17">
        <f>IF($J26="","",IF($J26="Pending","",IF($J26="P",0,IF($J26="L",-$F26,IF($G26="","",IF($G26&gt;0,$F26*$G26/100,$F26*100/ABS($G26)))))))</f>
        <v/>
      </c>
      <c r="L26" s="24">
        <f>IF(OR($H26="",$I26=""),"",IF($C26="Spread",$H26-$I26,IF($C26="Under",$H26-$I26,IF($C26="Over",$I26-$H26,IF($C26="ML",(IF($I26&gt;0,100/($I26+100),ABS($I26)/(ABS($I26)+100))-IF($H26&gt;0,100/($H26+100),ABS($H26)/(ABS($H26)+100)))*100,"")))))</f>
        <v/>
      </c>
    </row>
    <row r="27">
      <c r="A27" s="23" t="n"/>
      <c r="B27" s="15" t="n"/>
      <c r="C27" s="15" t="n"/>
      <c r="D27" s="15" t="n"/>
      <c r="E27" s="15" t="n"/>
      <c r="F27" s="17">
        <f>IF($E27="","",IF($E27="Lean",Dashboard!$B$4,IF($E27="Standard",Dashboard!$B$5,IF($E27="Max",Dashboard!$B$6,IF($E27="Parlay",Dashboard!$B$7,"")))))</f>
        <v/>
      </c>
      <c r="G27" s="15" t="n"/>
      <c r="H27" s="15" t="n"/>
      <c r="I27" s="15" t="n"/>
      <c r="J27" s="15" t="n"/>
      <c r="K27" s="17">
        <f>IF($J27="","",IF($J27="Pending","",IF($J27="P",0,IF($J27="L",-$F27,IF($G27="","",IF($G27&gt;0,$F27*$G27/100,$F27*100/ABS($G27)))))))</f>
        <v/>
      </c>
      <c r="L27" s="24">
        <f>IF(OR($H27="",$I27=""),"",IF($C27="Spread",$H27-$I27,IF($C27="Under",$H27-$I27,IF($C27="Over",$I27-$H27,IF($C27="ML",(IF($I27&gt;0,100/($I27+100),ABS($I27)/(ABS($I27)+100))-IF($H27&gt;0,100/($H27+100),ABS($H27)/(ABS($H27)+100)))*100,"")))))</f>
        <v/>
      </c>
    </row>
    <row r="28">
      <c r="A28" s="23" t="n"/>
      <c r="B28" s="15" t="n"/>
      <c r="C28" s="15" t="n"/>
      <c r="D28" s="15" t="n"/>
      <c r="E28" s="15" t="n"/>
      <c r="F28" s="17">
        <f>IF($E28="","",IF($E28="Lean",Dashboard!$B$4,IF($E28="Standard",Dashboard!$B$5,IF($E28="Max",Dashboard!$B$6,IF($E28="Parlay",Dashboard!$B$7,"")))))</f>
        <v/>
      </c>
      <c r="G28" s="15" t="n"/>
      <c r="H28" s="15" t="n"/>
      <c r="I28" s="15" t="n"/>
      <c r="J28" s="15" t="n"/>
      <c r="K28" s="17">
        <f>IF($J28="","",IF($J28="Pending","",IF($J28="P",0,IF($J28="L",-$F28,IF($G28="","",IF($G28&gt;0,$F28*$G28/100,$F28*100/ABS($G28)))))))</f>
        <v/>
      </c>
      <c r="L28" s="24">
        <f>IF(OR($H28="",$I28=""),"",IF($C28="Spread",$H28-$I28,IF($C28="Under",$H28-$I28,IF($C28="Over",$I28-$H28,IF($C28="ML",(IF($I28&gt;0,100/($I28+100),ABS($I28)/(ABS($I28)+100))-IF($H28&gt;0,100/($H28+100),ABS($H28)/(ABS($H28)+100)))*100,"")))))</f>
        <v/>
      </c>
    </row>
    <row r="29">
      <c r="A29" s="23" t="n"/>
      <c r="B29" s="15" t="n"/>
      <c r="C29" s="15" t="n"/>
      <c r="D29" s="15" t="n"/>
      <c r="E29" s="15" t="n"/>
      <c r="F29" s="17">
        <f>IF($E29="","",IF($E29="Lean",Dashboard!$B$4,IF($E29="Standard",Dashboard!$B$5,IF($E29="Max",Dashboard!$B$6,IF($E29="Parlay",Dashboard!$B$7,"")))))</f>
        <v/>
      </c>
      <c r="G29" s="15" t="n"/>
      <c r="H29" s="15" t="n"/>
      <c r="I29" s="15" t="n"/>
      <c r="J29" s="15" t="n"/>
      <c r="K29" s="17">
        <f>IF($J29="","",IF($J29="Pending","",IF($J29="P",0,IF($J29="L",-$F29,IF($G29="","",IF($G29&gt;0,$F29*$G29/100,$F29*100/ABS($G29)))))))</f>
        <v/>
      </c>
      <c r="L29" s="24">
        <f>IF(OR($H29="",$I29=""),"",IF($C29="Spread",$H29-$I29,IF($C29="Under",$H29-$I29,IF($C29="Over",$I29-$H29,IF($C29="ML",(IF($I29&gt;0,100/($I29+100),ABS($I29)/(ABS($I29)+100))-IF($H29&gt;0,100/($H29+100),ABS($H29)/(ABS($H29)+100)))*100,"")))))</f>
        <v/>
      </c>
    </row>
    <row r="30">
      <c r="A30" s="23" t="n"/>
      <c r="B30" s="15" t="n"/>
      <c r="C30" s="15" t="n"/>
      <c r="D30" s="15" t="n"/>
      <c r="E30" s="15" t="n"/>
      <c r="F30" s="17">
        <f>IF($E30="","",IF($E30="Lean",Dashboard!$B$4,IF($E30="Standard",Dashboard!$B$5,IF($E30="Max",Dashboard!$B$6,IF($E30="Parlay",Dashboard!$B$7,"")))))</f>
        <v/>
      </c>
      <c r="G30" s="15" t="n"/>
      <c r="H30" s="15" t="n"/>
      <c r="I30" s="15" t="n"/>
      <c r="J30" s="15" t="n"/>
      <c r="K30" s="17">
        <f>IF($J30="","",IF($J30="Pending","",IF($J30="P",0,IF($J30="L",-$F30,IF($G30="","",IF($G30&gt;0,$F30*$G30/100,$F30*100/ABS($G30)))))))</f>
        <v/>
      </c>
      <c r="L30" s="24">
        <f>IF(OR($H30="",$I30=""),"",IF($C30="Spread",$H30-$I30,IF($C30="Under",$H30-$I30,IF($C30="Over",$I30-$H30,IF($C30="ML",(IF($I30&gt;0,100/($I30+100),ABS($I30)/(ABS($I30)+100))-IF($H30&gt;0,100/($H30+100),ABS($H30)/(ABS($H30)+100)))*100,"")))))</f>
        <v/>
      </c>
    </row>
    <row r="31">
      <c r="A31" s="23" t="n"/>
      <c r="B31" s="15" t="n"/>
      <c r="C31" s="15" t="n"/>
      <c r="D31" s="15" t="n"/>
      <c r="E31" s="15" t="n"/>
      <c r="F31" s="17">
        <f>IF($E31="","",IF($E31="Lean",Dashboard!$B$4,IF($E31="Standard",Dashboard!$B$5,IF($E31="Max",Dashboard!$B$6,IF($E31="Parlay",Dashboard!$B$7,"")))))</f>
        <v/>
      </c>
      <c r="G31" s="15" t="n"/>
      <c r="H31" s="15" t="n"/>
      <c r="I31" s="15" t="n"/>
      <c r="J31" s="15" t="n"/>
      <c r="K31" s="17">
        <f>IF($J31="","",IF($J31="Pending","",IF($J31="P",0,IF($J31="L",-$F31,IF($G31="","",IF($G31&gt;0,$F31*$G31/100,$F31*100/ABS($G31)))))))</f>
        <v/>
      </c>
      <c r="L31" s="24">
        <f>IF(OR($H31="",$I31=""),"",IF($C31="Spread",$H31-$I31,IF($C31="Under",$H31-$I31,IF($C31="Over",$I31-$H31,IF($C31="ML",(IF($I31&gt;0,100/($I31+100),ABS($I31)/(ABS($I31)+100))-IF($H31&gt;0,100/($H31+100),ABS($H31)/(ABS($H31)+100)))*100,"")))))</f>
        <v/>
      </c>
    </row>
    <row r="32">
      <c r="A32" s="23" t="n"/>
      <c r="B32" s="15" t="n"/>
      <c r="C32" s="15" t="n"/>
      <c r="D32" s="15" t="n"/>
      <c r="E32" s="15" t="n"/>
      <c r="F32" s="17">
        <f>IF($E32="","",IF($E32="Lean",Dashboard!$B$4,IF($E32="Standard",Dashboard!$B$5,IF($E32="Max",Dashboard!$B$6,IF($E32="Parlay",Dashboard!$B$7,"")))))</f>
        <v/>
      </c>
      <c r="G32" s="15" t="n"/>
      <c r="H32" s="15" t="n"/>
      <c r="I32" s="15" t="n"/>
      <c r="J32" s="15" t="n"/>
      <c r="K32" s="17">
        <f>IF($J32="","",IF($J32="Pending","",IF($J32="P",0,IF($J32="L",-$F32,IF($G32="","",IF($G32&gt;0,$F32*$G32/100,$F32*100/ABS($G32)))))))</f>
        <v/>
      </c>
      <c r="L32" s="24">
        <f>IF(OR($H32="",$I32=""),"",IF($C32="Spread",$H32-$I32,IF($C32="Under",$H32-$I32,IF($C32="Over",$I32-$H32,IF($C32="ML",(IF($I32&gt;0,100/($I32+100),ABS($I32)/(ABS($I32)+100))-IF($H32&gt;0,100/($H32+100),ABS($H32)/(ABS($H32)+100)))*100,"")))))</f>
        <v/>
      </c>
    </row>
    <row r="33">
      <c r="A33" s="23" t="n"/>
      <c r="B33" s="15" t="n"/>
      <c r="C33" s="15" t="n"/>
      <c r="D33" s="15" t="n"/>
      <c r="E33" s="15" t="n"/>
      <c r="F33" s="17">
        <f>IF($E33="","",IF($E33="Lean",Dashboard!$B$4,IF($E33="Standard",Dashboard!$B$5,IF($E33="Max",Dashboard!$B$6,IF($E33="Parlay",Dashboard!$B$7,"")))))</f>
        <v/>
      </c>
      <c r="G33" s="15" t="n"/>
      <c r="H33" s="15" t="n"/>
      <c r="I33" s="15" t="n"/>
      <c r="J33" s="15" t="n"/>
      <c r="K33" s="17">
        <f>IF($J33="","",IF($J33="Pending","",IF($J33="P",0,IF($J33="L",-$F33,IF($G33="","",IF($G33&gt;0,$F33*$G33/100,$F33*100/ABS($G33)))))))</f>
        <v/>
      </c>
      <c r="L33" s="24">
        <f>IF(OR($H33="",$I33=""),"",IF($C33="Spread",$H33-$I33,IF($C33="Under",$H33-$I33,IF($C33="Over",$I33-$H33,IF($C33="ML",(IF($I33&gt;0,100/($I33+100),ABS($I33)/(ABS($I33)+100))-IF($H33&gt;0,100/($H33+100),ABS($H33)/(ABS($H33)+100)))*100,"")))))</f>
        <v/>
      </c>
    </row>
    <row r="34">
      <c r="A34" s="23" t="n"/>
      <c r="B34" s="15" t="n"/>
      <c r="C34" s="15" t="n"/>
      <c r="D34" s="15" t="n"/>
      <c r="E34" s="15" t="n"/>
      <c r="F34" s="17">
        <f>IF($E34="","",IF($E34="Lean",Dashboard!$B$4,IF($E34="Standard",Dashboard!$B$5,IF($E34="Max",Dashboard!$B$6,IF($E34="Parlay",Dashboard!$B$7,"")))))</f>
        <v/>
      </c>
      <c r="G34" s="15" t="n"/>
      <c r="H34" s="15" t="n"/>
      <c r="I34" s="15" t="n"/>
      <c r="J34" s="15" t="n"/>
      <c r="K34" s="17">
        <f>IF($J34="","",IF($J34="Pending","",IF($J34="P",0,IF($J34="L",-$F34,IF($G34="","",IF($G34&gt;0,$F34*$G34/100,$F34*100/ABS($G34)))))))</f>
        <v/>
      </c>
      <c r="L34" s="24">
        <f>IF(OR($H34="",$I34=""),"",IF($C34="Spread",$H34-$I34,IF($C34="Under",$H34-$I34,IF($C34="Over",$I34-$H34,IF($C34="ML",(IF($I34&gt;0,100/($I34+100),ABS($I34)/(ABS($I34)+100))-IF($H34&gt;0,100/($H34+100),ABS($H34)/(ABS($H34)+100)))*100,"")))))</f>
        <v/>
      </c>
    </row>
    <row r="35">
      <c r="A35" s="23" t="n"/>
      <c r="B35" s="15" t="n"/>
      <c r="C35" s="15" t="n"/>
      <c r="D35" s="15" t="n"/>
      <c r="E35" s="15" t="n"/>
      <c r="F35" s="17">
        <f>IF($E35="","",IF($E35="Lean",Dashboard!$B$4,IF($E35="Standard",Dashboard!$B$5,IF($E35="Max",Dashboard!$B$6,IF($E35="Parlay",Dashboard!$B$7,"")))))</f>
        <v/>
      </c>
      <c r="G35" s="15" t="n"/>
      <c r="H35" s="15" t="n"/>
      <c r="I35" s="15" t="n"/>
      <c r="J35" s="15" t="n"/>
      <c r="K35" s="17">
        <f>IF($J35="","",IF($J35="Pending","",IF($J35="P",0,IF($J35="L",-$F35,IF($G35="","",IF($G35&gt;0,$F35*$G35/100,$F35*100/ABS($G35)))))))</f>
        <v/>
      </c>
      <c r="L35" s="24">
        <f>IF(OR($H35="",$I35=""),"",IF($C35="Spread",$H35-$I35,IF($C35="Under",$H35-$I35,IF($C35="Over",$I35-$H35,IF($C35="ML",(IF($I35&gt;0,100/($I35+100),ABS($I35)/(ABS($I35)+100))-IF($H35&gt;0,100/($H35+100),ABS($H35)/(ABS($H35)+100)))*100,"")))))</f>
        <v/>
      </c>
    </row>
    <row r="36">
      <c r="A36" s="23" t="n"/>
      <c r="B36" s="15" t="n"/>
      <c r="C36" s="15" t="n"/>
      <c r="D36" s="15" t="n"/>
      <c r="E36" s="15" t="n"/>
      <c r="F36" s="17">
        <f>IF($E36="","",IF($E36="Lean",Dashboard!$B$4,IF($E36="Standard",Dashboard!$B$5,IF($E36="Max",Dashboard!$B$6,IF($E36="Parlay",Dashboard!$B$7,"")))))</f>
        <v/>
      </c>
      <c r="G36" s="15" t="n"/>
      <c r="H36" s="15" t="n"/>
      <c r="I36" s="15" t="n"/>
      <c r="J36" s="15" t="n"/>
      <c r="K36" s="17">
        <f>IF($J36="","",IF($J36="Pending","",IF($J36="P",0,IF($J36="L",-$F36,IF($G36="","",IF($G36&gt;0,$F36*$G36/100,$F36*100/ABS($G36)))))))</f>
        <v/>
      </c>
      <c r="L36" s="24">
        <f>IF(OR($H36="",$I36=""),"",IF($C36="Spread",$H36-$I36,IF($C36="Under",$H36-$I36,IF($C36="Over",$I36-$H36,IF($C36="ML",(IF($I36&gt;0,100/($I36+100),ABS($I36)/(ABS($I36)+100))-IF($H36&gt;0,100/($H36+100),ABS($H36)/(ABS($H36)+100)))*100,"")))))</f>
        <v/>
      </c>
    </row>
    <row r="37">
      <c r="A37" s="23" t="n"/>
      <c r="B37" s="15" t="n"/>
      <c r="C37" s="15" t="n"/>
      <c r="D37" s="15" t="n"/>
      <c r="E37" s="15" t="n"/>
      <c r="F37" s="17">
        <f>IF($E37="","",IF($E37="Lean",Dashboard!$B$4,IF($E37="Standard",Dashboard!$B$5,IF($E37="Max",Dashboard!$B$6,IF($E37="Parlay",Dashboard!$B$7,"")))))</f>
        <v/>
      </c>
      <c r="G37" s="15" t="n"/>
      <c r="H37" s="15" t="n"/>
      <c r="I37" s="15" t="n"/>
      <c r="J37" s="15" t="n"/>
      <c r="K37" s="17">
        <f>IF($J37="","",IF($J37="Pending","",IF($J37="P",0,IF($J37="L",-$F37,IF($G37="","",IF($G37&gt;0,$F37*$G37/100,$F37*100/ABS($G37)))))))</f>
        <v/>
      </c>
      <c r="L37" s="24">
        <f>IF(OR($H37="",$I37=""),"",IF($C37="Spread",$H37-$I37,IF($C37="Under",$H37-$I37,IF($C37="Over",$I37-$H37,IF($C37="ML",(IF($I37&gt;0,100/($I37+100),ABS($I37)/(ABS($I37)+100))-IF($H37&gt;0,100/($H37+100),ABS($H37)/(ABS($H37)+100)))*100,"")))))</f>
        <v/>
      </c>
    </row>
    <row r="38">
      <c r="A38" s="23" t="n"/>
      <c r="B38" s="15" t="n"/>
      <c r="C38" s="15" t="n"/>
      <c r="D38" s="15" t="n"/>
      <c r="E38" s="15" t="n"/>
      <c r="F38" s="17">
        <f>IF($E38="","",IF($E38="Lean",Dashboard!$B$4,IF($E38="Standard",Dashboard!$B$5,IF($E38="Max",Dashboard!$B$6,IF($E38="Parlay",Dashboard!$B$7,"")))))</f>
        <v/>
      </c>
      <c r="G38" s="15" t="n"/>
      <c r="H38" s="15" t="n"/>
      <c r="I38" s="15" t="n"/>
      <c r="J38" s="15" t="n"/>
      <c r="K38" s="17">
        <f>IF($J38="","",IF($J38="Pending","",IF($J38="P",0,IF($J38="L",-$F38,IF($G38="","",IF($G38&gt;0,$F38*$G38/100,$F38*100/ABS($G38)))))))</f>
        <v/>
      </c>
      <c r="L38" s="24">
        <f>IF(OR($H38="",$I38=""),"",IF($C38="Spread",$H38-$I38,IF($C38="Under",$H38-$I38,IF($C38="Over",$I38-$H38,IF($C38="ML",(IF($I38&gt;0,100/($I38+100),ABS($I38)/(ABS($I38)+100))-IF($H38&gt;0,100/($H38+100),ABS($H38)/(ABS($H38)+100)))*100,"")))))</f>
        <v/>
      </c>
    </row>
    <row r="39">
      <c r="A39" s="23" t="n"/>
      <c r="B39" s="15" t="n"/>
      <c r="C39" s="15" t="n"/>
      <c r="D39" s="15" t="n"/>
      <c r="E39" s="15" t="n"/>
      <c r="F39" s="17">
        <f>IF($E39="","",IF($E39="Lean",Dashboard!$B$4,IF($E39="Standard",Dashboard!$B$5,IF($E39="Max",Dashboard!$B$6,IF($E39="Parlay",Dashboard!$B$7,"")))))</f>
        <v/>
      </c>
      <c r="G39" s="15" t="n"/>
      <c r="H39" s="15" t="n"/>
      <c r="I39" s="15" t="n"/>
      <c r="J39" s="15" t="n"/>
      <c r="K39" s="17">
        <f>IF($J39="","",IF($J39="Pending","",IF($J39="P",0,IF($J39="L",-$F39,IF($G39="","",IF($G39&gt;0,$F39*$G39/100,$F39*100/ABS($G39)))))))</f>
        <v/>
      </c>
      <c r="L39" s="24">
        <f>IF(OR($H39="",$I39=""),"",IF($C39="Spread",$H39-$I39,IF($C39="Under",$H39-$I39,IF($C39="Over",$I39-$H39,IF($C39="ML",(IF($I39&gt;0,100/($I39+100),ABS($I39)/(ABS($I39)+100))-IF($H39&gt;0,100/($H39+100),ABS($H39)/(ABS($H39)+100)))*100,"")))))</f>
        <v/>
      </c>
    </row>
    <row r="40">
      <c r="A40" s="23" t="n"/>
      <c r="B40" s="15" t="n"/>
      <c r="C40" s="15" t="n"/>
      <c r="D40" s="15" t="n"/>
      <c r="E40" s="15" t="n"/>
      <c r="F40" s="17">
        <f>IF($E40="","",IF($E40="Lean",Dashboard!$B$4,IF($E40="Standard",Dashboard!$B$5,IF($E40="Max",Dashboard!$B$6,IF($E40="Parlay",Dashboard!$B$7,"")))))</f>
        <v/>
      </c>
      <c r="G40" s="15" t="n"/>
      <c r="H40" s="15" t="n"/>
      <c r="I40" s="15" t="n"/>
      <c r="J40" s="15" t="n"/>
      <c r="K40" s="17">
        <f>IF($J40="","",IF($J40="Pending","",IF($J40="P",0,IF($J40="L",-$F40,IF($G40="","",IF($G40&gt;0,$F40*$G40/100,$F40*100/ABS($G40)))))))</f>
        <v/>
      </c>
      <c r="L40" s="24">
        <f>IF(OR($H40="",$I40=""),"",IF($C40="Spread",$H40-$I40,IF($C40="Under",$H40-$I40,IF($C40="Over",$I40-$H40,IF($C40="ML",(IF($I40&gt;0,100/($I40+100),ABS($I40)/(ABS($I40)+100))-IF($H40&gt;0,100/($H40+100),ABS($H40)/(ABS($H40)+100)))*100,"")))))</f>
        <v/>
      </c>
    </row>
    <row r="41">
      <c r="A41" s="23" t="n"/>
      <c r="B41" s="15" t="n"/>
      <c r="C41" s="15" t="n"/>
      <c r="D41" s="15" t="n"/>
      <c r="E41" s="15" t="n"/>
      <c r="F41" s="17">
        <f>IF($E41="","",IF($E41="Lean",Dashboard!$B$4,IF($E41="Standard",Dashboard!$B$5,IF($E41="Max",Dashboard!$B$6,IF($E41="Parlay",Dashboard!$B$7,"")))))</f>
        <v/>
      </c>
      <c r="G41" s="15" t="n"/>
      <c r="H41" s="15" t="n"/>
      <c r="I41" s="15" t="n"/>
      <c r="J41" s="15" t="n"/>
      <c r="K41" s="17">
        <f>IF($J41="","",IF($J41="Pending","",IF($J41="P",0,IF($J41="L",-$F41,IF($G41="","",IF($G41&gt;0,$F41*$G41/100,$F41*100/ABS($G41)))))))</f>
        <v/>
      </c>
      <c r="L41" s="24">
        <f>IF(OR($H41="",$I41=""),"",IF($C41="Spread",$H41-$I41,IF($C41="Under",$H41-$I41,IF($C41="Over",$I41-$H41,IF($C41="ML",(IF($I41&gt;0,100/($I41+100),ABS($I41)/(ABS($I41)+100))-IF($H41&gt;0,100/($H41+100),ABS($H41)/(ABS($H41)+100)))*100,"")))))</f>
        <v/>
      </c>
    </row>
    <row r="42">
      <c r="A42" s="23" t="n"/>
      <c r="B42" s="15" t="n"/>
      <c r="C42" s="15" t="n"/>
      <c r="D42" s="15" t="n"/>
      <c r="E42" s="15" t="n"/>
      <c r="F42" s="17">
        <f>IF($E42="","",IF($E42="Lean",Dashboard!$B$4,IF($E42="Standard",Dashboard!$B$5,IF($E42="Max",Dashboard!$B$6,IF($E42="Parlay",Dashboard!$B$7,"")))))</f>
        <v/>
      </c>
      <c r="G42" s="15" t="n"/>
      <c r="H42" s="15" t="n"/>
      <c r="I42" s="15" t="n"/>
      <c r="J42" s="15" t="n"/>
      <c r="K42" s="17">
        <f>IF($J42="","",IF($J42="Pending","",IF($J42="P",0,IF($J42="L",-$F42,IF($G42="","",IF($G42&gt;0,$F42*$G42/100,$F42*100/ABS($G42)))))))</f>
        <v/>
      </c>
      <c r="L42" s="24">
        <f>IF(OR($H42="",$I42=""),"",IF($C42="Spread",$H42-$I42,IF($C42="Under",$H42-$I42,IF($C42="Over",$I42-$H42,IF($C42="ML",(IF($I42&gt;0,100/($I42+100),ABS($I42)/(ABS($I42)+100))-IF($H42&gt;0,100/($H42+100),ABS($H42)/(ABS($H42)+100)))*100,"")))))</f>
        <v/>
      </c>
    </row>
    <row r="43">
      <c r="A43" s="23" t="n"/>
      <c r="B43" s="15" t="n"/>
      <c r="C43" s="15" t="n"/>
      <c r="D43" s="15" t="n"/>
      <c r="E43" s="15" t="n"/>
      <c r="F43" s="17">
        <f>IF($E43="","",IF($E43="Lean",Dashboard!$B$4,IF($E43="Standard",Dashboard!$B$5,IF($E43="Max",Dashboard!$B$6,IF($E43="Parlay",Dashboard!$B$7,"")))))</f>
        <v/>
      </c>
      <c r="G43" s="15" t="n"/>
      <c r="H43" s="15" t="n"/>
      <c r="I43" s="15" t="n"/>
      <c r="J43" s="15" t="n"/>
      <c r="K43" s="17">
        <f>IF($J43="","",IF($J43="Pending","",IF($J43="P",0,IF($J43="L",-$F43,IF($G43="","",IF($G43&gt;0,$F43*$G43/100,$F43*100/ABS($G43)))))))</f>
        <v/>
      </c>
      <c r="L43" s="24">
        <f>IF(OR($H43="",$I43=""),"",IF($C43="Spread",$H43-$I43,IF($C43="Under",$H43-$I43,IF($C43="Over",$I43-$H43,IF($C43="ML",(IF($I43&gt;0,100/($I43+100),ABS($I43)/(ABS($I43)+100))-IF($H43&gt;0,100/($H43+100),ABS($H43)/(ABS($H43)+100)))*100,"")))))</f>
        <v/>
      </c>
    </row>
    <row r="44">
      <c r="A44" s="23" t="n"/>
      <c r="B44" s="15" t="n"/>
      <c r="C44" s="15" t="n"/>
      <c r="D44" s="15" t="n"/>
      <c r="E44" s="15" t="n"/>
      <c r="F44" s="17">
        <f>IF($E44="","",IF($E44="Lean",Dashboard!$B$4,IF($E44="Standard",Dashboard!$B$5,IF($E44="Max",Dashboard!$B$6,IF($E44="Parlay",Dashboard!$B$7,"")))))</f>
        <v/>
      </c>
      <c r="G44" s="15" t="n"/>
      <c r="H44" s="15" t="n"/>
      <c r="I44" s="15" t="n"/>
      <c r="J44" s="15" t="n"/>
      <c r="K44" s="17">
        <f>IF($J44="","",IF($J44="Pending","",IF($J44="P",0,IF($J44="L",-$F44,IF($G44="","",IF($G44&gt;0,$F44*$G44/100,$F44*100/ABS($G44)))))))</f>
        <v/>
      </c>
      <c r="L44" s="24">
        <f>IF(OR($H44="",$I44=""),"",IF($C44="Spread",$H44-$I44,IF($C44="Under",$H44-$I44,IF($C44="Over",$I44-$H44,IF($C44="ML",(IF($I44&gt;0,100/($I44+100),ABS($I44)/(ABS($I44)+100))-IF($H44&gt;0,100/($H44+100),ABS($H44)/(ABS($H44)+100)))*100,"")))))</f>
        <v/>
      </c>
    </row>
    <row r="45">
      <c r="A45" s="23" t="n"/>
      <c r="B45" s="15" t="n"/>
      <c r="C45" s="15" t="n"/>
      <c r="D45" s="15" t="n"/>
      <c r="E45" s="15" t="n"/>
      <c r="F45" s="17">
        <f>IF($E45="","",IF($E45="Lean",Dashboard!$B$4,IF($E45="Standard",Dashboard!$B$5,IF($E45="Max",Dashboard!$B$6,IF($E45="Parlay",Dashboard!$B$7,"")))))</f>
        <v/>
      </c>
      <c r="G45" s="15" t="n"/>
      <c r="H45" s="15" t="n"/>
      <c r="I45" s="15" t="n"/>
      <c r="J45" s="15" t="n"/>
      <c r="K45" s="17">
        <f>IF($J45="","",IF($J45="Pending","",IF($J45="P",0,IF($J45="L",-$F45,IF($G45="","",IF($G45&gt;0,$F45*$G45/100,$F45*100/ABS($G45)))))))</f>
        <v/>
      </c>
      <c r="L45" s="24">
        <f>IF(OR($H45="",$I45=""),"",IF($C45="Spread",$H45-$I45,IF($C45="Under",$H45-$I45,IF($C45="Over",$I45-$H45,IF($C45="ML",(IF($I45&gt;0,100/($I45+100),ABS($I45)/(ABS($I45)+100))-IF($H45&gt;0,100/($H45+100),ABS($H45)/(ABS($H45)+100)))*100,"")))))</f>
        <v/>
      </c>
    </row>
    <row r="46">
      <c r="A46" s="23" t="n"/>
      <c r="B46" s="15" t="n"/>
      <c r="C46" s="15" t="n"/>
      <c r="D46" s="15" t="n"/>
      <c r="E46" s="15" t="n"/>
      <c r="F46" s="17">
        <f>IF($E46="","",IF($E46="Lean",Dashboard!$B$4,IF($E46="Standard",Dashboard!$B$5,IF($E46="Max",Dashboard!$B$6,IF($E46="Parlay",Dashboard!$B$7,"")))))</f>
        <v/>
      </c>
      <c r="G46" s="15" t="n"/>
      <c r="H46" s="15" t="n"/>
      <c r="I46" s="15" t="n"/>
      <c r="J46" s="15" t="n"/>
      <c r="K46" s="17">
        <f>IF($J46="","",IF($J46="Pending","",IF($J46="P",0,IF($J46="L",-$F46,IF($G46="","",IF($G46&gt;0,$F46*$G46/100,$F46*100/ABS($G46)))))))</f>
        <v/>
      </c>
      <c r="L46" s="24">
        <f>IF(OR($H46="",$I46=""),"",IF($C46="Spread",$H46-$I46,IF($C46="Under",$H46-$I46,IF($C46="Over",$I46-$H46,IF($C46="ML",(IF($I46&gt;0,100/($I46+100),ABS($I46)/(ABS($I46)+100))-IF($H46&gt;0,100/($H46+100),ABS($H46)/(ABS($H46)+100)))*100,"")))))</f>
        <v/>
      </c>
    </row>
    <row r="47">
      <c r="A47" s="23" t="n"/>
      <c r="B47" s="15" t="n"/>
      <c r="C47" s="15" t="n"/>
      <c r="D47" s="15" t="n"/>
      <c r="E47" s="15" t="n"/>
      <c r="F47" s="17">
        <f>IF($E47="","",IF($E47="Lean",Dashboard!$B$4,IF($E47="Standard",Dashboard!$B$5,IF($E47="Max",Dashboard!$B$6,IF($E47="Parlay",Dashboard!$B$7,"")))))</f>
        <v/>
      </c>
      <c r="G47" s="15" t="n"/>
      <c r="H47" s="15" t="n"/>
      <c r="I47" s="15" t="n"/>
      <c r="J47" s="15" t="n"/>
      <c r="K47" s="17">
        <f>IF($J47="","",IF($J47="Pending","",IF($J47="P",0,IF($J47="L",-$F47,IF($G47="","",IF($G47&gt;0,$F47*$G47/100,$F47*100/ABS($G47)))))))</f>
        <v/>
      </c>
      <c r="L47" s="24">
        <f>IF(OR($H47="",$I47=""),"",IF($C47="Spread",$H47-$I47,IF($C47="Under",$H47-$I47,IF($C47="Over",$I47-$H47,IF($C47="ML",(IF($I47&gt;0,100/($I47+100),ABS($I47)/(ABS($I47)+100))-IF($H47&gt;0,100/($H47+100),ABS($H47)/(ABS($H47)+100)))*100,"")))))</f>
        <v/>
      </c>
    </row>
    <row r="48">
      <c r="A48" s="23" t="n"/>
      <c r="B48" s="15" t="n"/>
      <c r="C48" s="15" t="n"/>
      <c r="D48" s="15" t="n"/>
      <c r="E48" s="15" t="n"/>
      <c r="F48" s="17">
        <f>IF($E48="","",IF($E48="Lean",Dashboard!$B$4,IF($E48="Standard",Dashboard!$B$5,IF($E48="Max",Dashboard!$B$6,IF($E48="Parlay",Dashboard!$B$7,"")))))</f>
        <v/>
      </c>
      <c r="G48" s="15" t="n"/>
      <c r="H48" s="15" t="n"/>
      <c r="I48" s="15" t="n"/>
      <c r="J48" s="15" t="n"/>
      <c r="K48" s="17">
        <f>IF($J48="","",IF($J48="Pending","",IF($J48="P",0,IF($J48="L",-$F48,IF($G48="","",IF($G48&gt;0,$F48*$G48/100,$F48*100/ABS($G48)))))))</f>
        <v/>
      </c>
      <c r="L48" s="24">
        <f>IF(OR($H48="",$I48=""),"",IF($C48="Spread",$H48-$I48,IF($C48="Under",$H48-$I48,IF($C48="Over",$I48-$H48,IF($C48="ML",(IF($I48&gt;0,100/($I48+100),ABS($I48)/(ABS($I48)+100))-IF($H48&gt;0,100/($H48+100),ABS($H48)/(ABS($H48)+100)))*100,"")))))</f>
        <v/>
      </c>
    </row>
    <row r="49">
      <c r="A49" s="23" t="n"/>
      <c r="B49" s="15" t="n"/>
      <c r="C49" s="15" t="n"/>
      <c r="D49" s="15" t="n"/>
      <c r="E49" s="15" t="n"/>
      <c r="F49" s="17">
        <f>IF($E49="","",IF($E49="Lean",Dashboard!$B$4,IF($E49="Standard",Dashboard!$B$5,IF($E49="Max",Dashboard!$B$6,IF($E49="Parlay",Dashboard!$B$7,"")))))</f>
        <v/>
      </c>
      <c r="G49" s="15" t="n"/>
      <c r="H49" s="15" t="n"/>
      <c r="I49" s="15" t="n"/>
      <c r="J49" s="15" t="n"/>
      <c r="K49" s="17">
        <f>IF($J49="","",IF($J49="Pending","",IF($J49="P",0,IF($J49="L",-$F49,IF($G49="","",IF($G49&gt;0,$F49*$G49/100,$F49*100/ABS($G49)))))))</f>
        <v/>
      </c>
      <c r="L49" s="24">
        <f>IF(OR($H49="",$I49=""),"",IF($C49="Spread",$H49-$I49,IF($C49="Under",$H49-$I49,IF($C49="Over",$I49-$H49,IF($C49="ML",(IF($I49&gt;0,100/($I49+100),ABS($I49)/(ABS($I49)+100))-IF($H49&gt;0,100/($H49+100),ABS($H49)/(ABS($H49)+100)))*100,"")))))</f>
        <v/>
      </c>
    </row>
    <row r="50">
      <c r="A50" s="23" t="n"/>
      <c r="B50" s="15" t="n"/>
      <c r="C50" s="15" t="n"/>
      <c r="D50" s="15" t="n"/>
      <c r="E50" s="15" t="n"/>
      <c r="F50" s="17">
        <f>IF($E50="","",IF($E50="Lean",Dashboard!$B$4,IF($E50="Standard",Dashboard!$B$5,IF($E50="Max",Dashboard!$B$6,IF($E50="Parlay",Dashboard!$B$7,"")))))</f>
        <v/>
      </c>
      <c r="G50" s="15" t="n"/>
      <c r="H50" s="15" t="n"/>
      <c r="I50" s="15" t="n"/>
      <c r="J50" s="15" t="n"/>
      <c r="K50" s="17">
        <f>IF($J50="","",IF($J50="Pending","",IF($J50="P",0,IF($J50="L",-$F50,IF($G50="","",IF($G50&gt;0,$F50*$G50/100,$F50*100/ABS($G50)))))))</f>
        <v/>
      </c>
      <c r="L50" s="24">
        <f>IF(OR($H50="",$I50=""),"",IF($C50="Spread",$H50-$I50,IF($C50="Under",$H50-$I50,IF($C50="Over",$I50-$H50,IF($C50="ML",(IF($I50&gt;0,100/($I50+100),ABS($I50)/(ABS($I50)+100))-IF($H50&gt;0,100/($H50+100),ABS($H50)/(ABS($H50)+100)))*100,"")))))</f>
        <v/>
      </c>
    </row>
    <row r="51">
      <c r="A51" s="23" t="n"/>
      <c r="B51" s="15" t="n"/>
      <c r="C51" s="15" t="n"/>
      <c r="D51" s="15" t="n"/>
      <c r="E51" s="15" t="n"/>
      <c r="F51" s="17">
        <f>IF($E51="","",IF($E51="Lean",Dashboard!$B$4,IF($E51="Standard",Dashboard!$B$5,IF($E51="Max",Dashboard!$B$6,IF($E51="Parlay",Dashboard!$B$7,"")))))</f>
        <v/>
      </c>
      <c r="G51" s="15" t="n"/>
      <c r="H51" s="15" t="n"/>
      <c r="I51" s="15" t="n"/>
      <c r="J51" s="15" t="n"/>
      <c r="K51" s="17">
        <f>IF($J51="","",IF($J51="Pending","",IF($J51="P",0,IF($J51="L",-$F51,IF($G51="","",IF($G51&gt;0,$F51*$G51/100,$F51*100/ABS($G51)))))))</f>
        <v/>
      </c>
      <c r="L51" s="24">
        <f>IF(OR($H51="",$I51=""),"",IF($C51="Spread",$H51-$I51,IF($C51="Under",$H51-$I51,IF($C51="Over",$I51-$H51,IF($C51="ML",(IF($I51&gt;0,100/($I51+100),ABS($I51)/(ABS($I51)+100))-IF($H51&gt;0,100/($H51+100),ABS($H51)/(ABS($H51)+100)))*100,"")))))</f>
        <v/>
      </c>
    </row>
    <row r="52">
      <c r="A52" s="23" t="n"/>
      <c r="B52" s="15" t="n"/>
      <c r="C52" s="15" t="n"/>
      <c r="D52" s="15" t="n"/>
      <c r="E52" s="15" t="n"/>
      <c r="F52" s="17">
        <f>IF($E52="","",IF($E52="Lean",Dashboard!$B$4,IF($E52="Standard",Dashboard!$B$5,IF($E52="Max",Dashboard!$B$6,IF($E52="Parlay",Dashboard!$B$7,"")))))</f>
        <v/>
      </c>
      <c r="G52" s="15" t="n"/>
      <c r="H52" s="15" t="n"/>
      <c r="I52" s="15" t="n"/>
      <c r="J52" s="15" t="n"/>
      <c r="K52" s="17">
        <f>IF($J52="","",IF($J52="Pending","",IF($J52="P",0,IF($J52="L",-$F52,IF($G52="","",IF($G52&gt;0,$F52*$G52/100,$F52*100/ABS($G52)))))))</f>
        <v/>
      </c>
      <c r="L52" s="24">
        <f>IF(OR($H52="",$I52=""),"",IF($C52="Spread",$H52-$I52,IF($C52="Under",$H52-$I52,IF($C52="Over",$I52-$H52,IF($C52="ML",(IF($I52&gt;0,100/($I52+100),ABS($I52)/(ABS($I52)+100))-IF($H52&gt;0,100/($H52+100),ABS($H52)/(ABS($H52)+100)))*100,"")))))</f>
        <v/>
      </c>
    </row>
    <row r="53">
      <c r="A53" s="23" t="n"/>
      <c r="B53" s="15" t="n"/>
      <c r="C53" s="15" t="n"/>
      <c r="D53" s="15" t="n"/>
      <c r="E53" s="15" t="n"/>
      <c r="F53" s="17">
        <f>IF($E53="","",IF($E53="Lean",Dashboard!$B$4,IF($E53="Standard",Dashboard!$B$5,IF($E53="Max",Dashboard!$B$6,IF($E53="Parlay",Dashboard!$B$7,"")))))</f>
        <v/>
      </c>
      <c r="G53" s="15" t="n"/>
      <c r="H53" s="15" t="n"/>
      <c r="I53" s="15" t="n"/>
      <c r="J53" s="15" t="n"/>
      <c r="K53" s="17">
        <f>IF($J53="","",IF($J53="Pending","",IF($J53="P",0,IF($J53="L",-$F53,IF($G53="","",IF($G53&gt;0,$F53*$G53/100,$F53*100/ABS($G53)))))))</f>
        <v/>
      </c>
      <c r="L53" s="24">
        <f>IF(OR($H53="",$I53=""),"",IF($C53="Spread",$H53-$I53,IF($C53="Under",$H53-$I53,IF($C53="Over",$I53-$H53,IF($C53="ML",(IF($I53&gt;0,100/($I53+100),ABS($I53)/(ABS($I53)+100))-IF($H53&gt;0,100/($H53+100),ABS($H53)/(ABS($H53)+100)))*100,"")))))</f>
        <v/>
      </c>
    </row>
    <row r="54">
      <c r="A54" s="23" t="n"/>
      <c r="B54" s="15" t="n"/>
      <c r="C54" s="15" t="n"/>
      <c r="D54" s="15" t="n"/>
      <c r="E54" s="15" t="n"/>
      <c r="F54" s="17">
        <f>IF($E54="","",IF($E54="Lean",Dashboard!$B$4,IF($E54="Standard",Dashboard!$B$5,IF($E54="Max",Dashboard!$B$6,IF($E54="Parlay",Dashboard!$B$7,"")))))</f>
        <v/>
      </c>
      <c r="G54" s="15" t="n"/>
      <c r="H54" s="15" t="n"/>
      <c r="I54" s="15" t="n"/>
      <c r="J54" s="15" t="n"/>
      <c r="K54" s="17">
        <f>IF($J54="","",IF($J54="Pending","",IF($J54="P",0,IF($J54="L",-$F54,IF($G54="","",IF($G54&gt;0,$F54*$G54/100,$F54*100/ABS($G54)))))))</f>
        <v/>
      </c>
      <c r="L54" s="24">
        <f>IF(OR($H54="",$I54=""),"",IF($C54="Spread",$H54-$I54,IF($C54="Under",$H54-$I54,IF($C54="Over",$I54-$H54,IF($C54="ML",(IF($I54&gt;0,100/($I54+100),ABS($I54)/(ABS($I54)+100))-IF($H54&gt;0,100/($H54+100),ABS($H54)/(ABS($H54)+100)))*100,"")))))</f>
        <v/>
      </c>
    </row>
    <row r="55">
      <c r="A55" s="23" t="n"/>
      <c r="B55" s="15" t="n"/>
      <c r="C55" s="15" t="n"/>
      <c r="D55" s="15" t="n"/>
      <c r="E55" s="15" t="n"/>
      <c r="F55" s="17">
        <f>IF($E55="","",IF($E55="Lean",Dashboard!$B$4,IF($E55="Standard",Dashboard!$B$5,IF($E55="Max",Dashboard!$B$6,IF($E55="Parlay",Dashboard!$B$7,"")))))</f>
        <v/>
      </c>
      <c r="G55" s="15" t="n"/>
      <c r="H55" s="15" t="n"/>
      <c r="I55" s="15" t="n"/>
      <c r="J55" s="15" t="n"/>
      <c r="K55" s="17">
        <f>IF($J55="","",IF($J55="Pending","",IF($J55="P",0,IF($J55="L",-$F55,IF($G55="","",IF($G55&gt;0,$F55*$G55/100,$F55*100/ABS($G55)))))))</f>
        <v/>
      </c>
      <c r="L55" s="24">
        <f>IF(OR($H55="",$I55=""),"",IF($C55="Spread",$H55-$I55,IF($C55="Under",$H55-$I55,IF($C55="Over",$I55-$H55,IF($C55="ML",(IF($I55&gt;0,100/($I55+100),ABS($I55)/(ABS($I55)+100))-IF($H55&gt;0,100/($H55+100),ABS($H55)/(ABS($H55)+100)))*100,"")))))</f>
        <v/>
      </c>
    </row>
    <row r="56">
      <c r="A56" s="23" t="n"/>
      <c r="B56" s="15" t="n"/>
      <c r="C56" s="15" t="n"/>
      <c r="D56" s="15" t="n"/>
      <c r="E56" s="15" t="n"/>
      <c r="F56" s="17">
        <f>IF($E56="","",IF($E56="Lean",Dashboard!$B$4,IF($E56="Standard",Dashboard!$B$5,IF($E56="Max",Dashboard!$B$6,IF($E56="Parlay",Dashboard!$B$7,"")))))</f>
        <v/>
      </c>
      <c r="G56" s="15" t="n"/>
      <c r="H56" s="15" t="n"/>
      <c r="I56" s="15" t="n"/>
      <c r="J56" s="15" t="n"/>
      <c r="K56" s="17">
        <f>IF($J56="","",IF($J56="Pending","",IF($J56="P",0,IF($J56="L",-$F56,IF($G56="","",IF($G56&gt;0,$F56*$G56/100,$F56*100/ABS($G56)))))))</f>
        <v/>
      </c>
      <c r="L56" s="24">
        <f>IF(OR($H56="",$I56=""),"",IF($C56="Spread",$H56-$I56,IF($C56="Under",$H56-$I56,IF($C56="Over",$I56-$H56,IF($C56="ML",(IF($I56&gt;0,100/($I56+100),ABS($I56)/(ABS($I56)+100))-IF($H56&gt;0,100/($H56+100),ABS($H56)/(ABS($H56)+100)))*100,"")))))</f>
        <v/>
      </c>
    </row>
    <row r="57">
      <c r="A57" s="23" t="n"/>
      <c r="B57" s="15" t="n"/>
      <c r="C57" s="15" t="n"/>
      <c r="D57" s="15" t="n"/>
      <c r="E57" s="15" t="n"/>
      <c r="F57" s="17">
        <f>IF($E57="","",IF($E57="Lean",Dashboard!$B$4,IF($E57="Standard",Dashboard!$B$5,IF($E57="Max",Dashboard!$B$6,IF($E57="Parlay",Dashboard!$B$7,"")))))</f>
        <v/>
      </c>
      <c r="G57" s="15" t="n"/>
      <c r="H57" s="15" t="n"/>
      <c r="I57" s="15" t="n"/>
      <c r="J57" s="15" t="n"/>
      <c r="K57" s="17">
        <f>IF($J57="","",IF($J57="Pending","",IF($J57="P",0,IF($J57="L",-$F57,IF($G57="","",IF($G57&gt;0,$F57*$G57/100,$F57*100/ABS($G57)))))))</f>
        <v/>
      </c>
      <c r="L57" s="24">
        <f>IF(OR($H57="",$I57=""),"",IF($C57="Spread",$H57-$I57,IF($C57="Under",$H57-$I57,IF($C57="Over",$I57-$H57,IF($C57="ML",(IF($I57&gt;0,100/($I57+100),ABS($I57)/(ABS($I57)+100))-IF($H57&gt;0,100/($H57+100),ABS($H57)/(ABS($H57)+100)))*100,"")))))</f>
        <v/>
      </c>
    </row>
    <row r="58">
      <c r="A58" s="23" t="n"/>
      <c r="B58" s="15" t="n"/>
      <c r="C58" s="15" t="n"/>
      <c r="D58" s="15" t="n"/>
      <c r="E58" s="15" t="n"/>
      <c r="F58" s="17">
        <f>IF($E58="","",IF($E58="Lean",Dashboard!$B$4,IF($E58="Standard",Dashboard!$B$5,IF($E58="Max",Dashboard!$B$6,IF($E58="Parlay",Dashboard!$B$7,"")))))</f>
        <v/>
      </c>
      <c r="G58" s="15" t="n"/>
      <c r="H58" s="15" t="n"/>
      <c r="I58" s="15" t="n"/>
      <c r="J58" s="15" t="n"/>
      <c r="K58" s="17">
        <f>IF($J58="","",IF($J58="Pending","",IF($J58="P",0,IF($J58="L",-$F58,IF($G58="","",IF($G58&gt;0,$F58*$G58/100,$F58*100/ABS($G58)))))))</f>
        <v/>
      </c>
      <c r="L58" s="24">
        <f>IF(OR($H58="",$I58=""),"",IF($C58="Spread",$H58-$I58,IF($C58="Under",$H58-$I58,IF($C58="Over",$I58-$H58,IF($C58="ML",(IF($I58&gt;0,100/($I58+100),ABS($I58)/(ABS($I58)+100))-IF($H58&gt;0,100/($H58+100),ABS($H58)/(ABS($H58)+100)))*100,"")))))</f>
        <v/>
      </c>
    </row>
    <row r="59">
      <c r="A59" s="23" t="n"/>
      <c r="B59" s="15" t="n"/>
      <c r="C59" s="15" t="n"/>
      <c r="D59" s="15" t="n"/>
      <c r="E59" s="15" t="n"/>
      <c r="F59" s="17">
        <f>IF($E59="","",IF($E59="Lean",Dashboard!$B$4,IF($E59="Standard",Dashboard!$B$5,IF($E59="Max",Dashboard!$B$6,IF($E59="Parlay",Dashboard!$B$7,"")))))</f>
        <v/>
      </c>
      <c r="G59" s="15" t="n"/>
      <c r="H59" s="15" t="n"/>
      <c r="I59" s="15" t="n"/>
      <c r="J59" s="15" t="n"/>
      <c r="K59" s="17">
        <f>IF($J59="","",IF($J59="Pending","",IF($J59="P",0,IF($J59="L",-$F59,IF($G59="","",IF($G59&gt;0,$F59*$G59/100,$F59*100/ABS($G59)))))))</f>
        <v/>
      </c>
      <c r="L59" s="24">
        <f>IF(OR($H59="",$I59=""),"",IF($C59="Spread",$H59-$I59,IF($C59="Under",$H59-$I59,IF($C59="Over",$I59-$H59,IF($C59="ML",(IF($I59&gt;0,100/($I59+100),ABS($I59)/(ABS($I59)+100))-IF($H59&gt;0,100/($H59+100),ABS($H59)/(ABS($H59)+100)))*100,"")))))</f>
        <v/>
      </c>
    </row>
    <row r="60">
      <c r="A60" s="23" t="n"/>
      <c r="B60" s="15" t="n"/>
      <c r="C60" s="15" t="n"/>
      <c r="D60" s="15" t="n"/>
      <c r="E60" s="15" t="n"/>
      <c r="F60" s="17">
        <f>IF($E60="","",IF($E60="Lean",Dashboard!$B$4,IF($E60="Standard",Dashboard!$B$5,IF($E60="Max",Dashboard!$B$6,IF($E60="Parlay",Dashboard!$B$7,"")))))</f>
        <v/>
      </c>
      <c r="G60" s="15" t="n"/>
      <c r="H60" s="15" t="n"/>
      <c r="I60" s="15" t="n"/>
      <c r="J60" s="15" t="n"/>
      <c r="K60" s="17">
        <f>IF($J60="","",IF($J60="Pending","",IF($J60="P",0,IF($J60="L",-$F60,IF($G60="","",IF($G60&gt;0,$F60*$G60/100,$F60*100/ABS($G60)))))))</f>
        <v/>
      </c>
      <c r="L60" s="24">
        <f>IF(OR($H60="",$I60=""),"",IF($C60="Spread",$H60-$I60,IF($C60="Under",$H60-$I60,IF($C60="Over",$I60-$H60,IF($C60="ML",(IF($I60&gt;0,100/($I60+100),ABS($I60)/(ABS($I60)+100))-IF($H60&gt;0,100/($H60+100),ABS($H60)/(ABS($H60)+100)))*100,"")))))</f>
        <v/>
      </c>
    </row>
    <row r="61">
      <c r="A61" s="23" t="n"/>
      <c r="B61" s="15" t="n"/>
      <c r="C61" s="15" t="n"/>
      <c r="D61" s="15" t="n"/>
      <c r="E61" s="15" t="n"/>
      <c r="F61" s="17">
        <f>IF($E61="","",IF($E61="Lean",Dashboard!$B$4,IF($E61="Standard",Dashboard!$B$5,IF($E61="Max",Dashboard!$B$6,IF($E61="Parlay",Dashboard!$B$7,"")))))</f>
        <v/>
      </c>
      <c r="G61" s="15" t="n"/>
      <c r="H61" s="15" t="n"/>
      <c r="I61" s="15" t="n"/>
      <c r="J61" s="15" t="n"/>
      <c r="K61" s="17">
        <f>IF($J61="","",IF($J61="Pending","",IF($J61="P",0,IF($J61="L",-$F61,IF($G61="","",IF($G61&gt;0,$F61*$G61/100,$F61*100/ABS($G61)))))))</f>
        <v/>
      </c>
      <c r="L61" s="24">
        <f>IF(OR($H61="",$I61=""),"",IF($C61="Spread",$H61-$I61,IF($C61="Under",$H61-$I61,IF($C61="Over",$I61-$H61,IF($C61="ML",(IF($I61&gt;0,100/($I61+100),ABS($I61)/(ABS($I61)+100))-IF($H61&gt;0,100/($H61+100),ABS($H61)/(ABS($H61)+100)))*100,"")))))</f>
        <v/>
      </c>
    </row>
    <row r="62">
      <c r="A62" s="23" t="n"/>
      <c r="B62" s="15" t="n"/>
      <c r="C62" s="15" t="n"/>
      <c r="D62" s="15" t="n"/>
      <c r="E62" s="15" t="n"/>
      <c r="F62" s="17">
        <f>IF($E62="","",IF($E62="Lean",Dashboard!$B$4,IF($E62="Standard",Dashboard!$B$5,IF($E62="Max",Dashboard!$B$6,IF($E62="Parlay",Dashboard!$B$7,"")))))</f>
        <v/>
      </c>
      <c r="G62" s="15" t="n"/>
      <c r="H62" s="15" t="n"/>
      <c r="I62" s="15" t="n"/>
      <c r="J62" s="15" t="n"/>
      <c r="K62" s="17">
        <f>IF($J62="","",IF($J62="Pending","",IF($J62="P",0,IF($J62="L",-$F62,IF($G62="","",IF($G62&gt;0,$F62*$G62/100,$F62*100/ABS($G62)))))))</f>
        <v/>
      </c>
      <c r="L62" s="24">
        <f>IF(OR($H62="",$I62=""),"",IF($C62="Spread",$H62-$I62,IF($C62="Under",$H62-$I62,IF($C62="Over",$I62-$H62,IF($C62="ML",(IF($I62&gt;0,100/($I62+100),ABS($I62)/(ABS($I62)+100))-IF($H62&gt;0,100/($H62+100),ABS($H62)/(ABS($H62)+100)))*100,"")))))</f>
        <v/>
      </c>
    </row>
    <row r="63">
      <c r="A63" s="23" t="n"/>
      <c r="B63" s="15" t="n"/>
      <c r="C63" s="15" t="n"/>
      <c r="D63" s="15" t="n"/>
      <c r="E63" s="15" t="n"/>
      <c r="F63" s="17">
        <f>IF($E63="","",IF($E63="Lean",Dashboard!$B$4,IF($E63="Standard",Dashboard!$B$5,IF($E63="Max",Dashboard!$B$6,IF($E63="Parlay",Dashboard!$B$7,"")))))</f>
        <v/>
      </c>
      <c r="G63" s="15" t="n"/>
      <c r="H63" s="15" t="n"/>
      <c r="I63" s="15" t="n"/>
      <c r="J63" s="15" t="n"/>
      <c r="K63" s="17">
        <f>IF($J63="","",IF($J63="Pending","",IF($J63="P",0,IF($J63="L",-$F63,IF($G63="","",IF($G63&gt;0,$F63*$G63/100,$F63*100/ABS($G63)))))))</f>
        <v/>
      </c>
      <c r="L63" s="24">
        <f>IF(OR($H63="",$I63=""),"",IF($C63="Spread",$H63-$I63,IF($C63="Under",$H63-$I63,IF($C63="Over",$I63-$H63,IF($C63="ML",(IF($I63&gt;0,100/($I63+100),ABS($I63)/(ABS($I63)+100))-IF($H63&gt;0,100/($H63+100),ABS($H63)/(ABS($H63)+100)))*100,"")))))</f>
        <v/>
      </c>
    </row>
    <row r="64">
      <c r="A64" s="23" t="n"/>
      <c r="B64" s="15" t="n"/>
      <c r="C64" s="15" t="n"/>
      <c r="D64" s="15" t="n"/>
      <c r="E64" s="15" t="n"/>
      <c r="F64" s="17">
        <f>IF($E64="","",IF($E64="Lean",Dashboard!$B$4,IF($E64="Standard",Dashboard!$B$5,IF($E64="Max",Dashboard!$B$6,IF($E64="Parlay",Dashboard!$B$7,"")))))</f>
        <v/>
      </c>
      <c r="G64" s="15" t="n"/>
      <c r="H64" s="15" t="n"/>
      <c r="I64" s="15" t="n"/>
      <c r="J64" s="15" t="n"/>
      <c r="K64" s="17">
        <f>IF($J64="","",IF($J64="Pending","",IF($J64="P",0,IF($J64="L",-$F64,IF($G64="","",IF($G64&gt;0,$F64*$G64/100,$F64*100/ABS($G64)))))))</f>
        <v/>
      </c>
      <c r="L64" s="24">
        <f>IF(OR($H64="",$I64=""),"",IF($C64="Spread",$H64-$I64,IF($C64="Under",$H64-$I64,IF($C64="Over",$I64-$H64,IF($C64="ML",(IF($I64&gt;0,100/($I64+100),ABS($I64)/(ABS($I64)+100))-IF($H64&gt;0,100/($H64+100),ABS($H64)/(ABS($H64)+100)))*100,"")))))</f>
        <v/>
      </c>
    </row>
    <row r="65">
      <c r="A65" s="23" t="n"/>
      <c r="B65" s="15" t="n"/>
      <c r="C65" s="15" t="n"/>
      <c r="D65" s="15" t="n"/>
      <c r="E65" s="15" t="n"/>
      <c r="F65" s="17">
        <f>IF($E65="","",IF($E65="Lean",Dashboard!$B$4,IF($E65="Standard",Dashboard!$B$5,IF($E65="Max",Dashboard!$B$6,IF($E65="Parlay",Dashboard!$B$7,"")))))</f>
        <v/>
      </c>
      <c r="G65" s="15" t="n"/>
      <c r="H65" s="15" t="n"/>
      <c r="I65" s="15" t="n"/>
      <c r="J65" s="15" t="n"/>
      <c r="K65" s="17">
        <f>IF($J65="","",IF($J65="Pending","",IF($J65="P",0,IF($J65="L",-$F65,IF($G65="","",IF($G65&gt;0,$F65*$G65/100,$F65*100/ABS($G65)))))))</f>
        <v/>
      </c>
      <c r="L65" s="24">
        <f>IF(OR($H65="",$I65=""),"",IF($C65="Spread",$H65-$I65,IF($C65="Under",$H65-$I65,IF($C65="Over",$I65-$H65,IF($C65="ML",(IF($I65&gt;0,100/($I65+100),ABS($I65)/(ABS($I65)+100))-IF($H65&gt;0,100/($H65+100),ABS($H65)/(ABS($H65)+100)))*100,"")))))</f>
        <v/>
      </c>
    </row>
    <row r="66">
      <c r="A66" s="23" t="n"/>
      <c r="B66" s="15" t="n"/>
      <c r="C66" s="15" t="n"/>
      <c r="D66" s="15" t="n"/>
      <c r="E66" s="15" t="n"/>
      <c r="F66" s="17">
        <f>IF($E66="","",IF($E66="Lean",Dashboard!$B$4,IF($E66="Standard",Dashboard!$B$5,IF($E66="Max",Dashboard!$B$6,IF($E66="Parlay",Dashboard!$B$7,"")))))</f>
        <v/>
      </c>
      <c r="G66" s="15" t="n"/>
      <c r="H66" s="15" t="n"/>
      <c r="I66" s="15" t="n"/>
      <c r="J66" s="15" t="n"/>
      <c r="K66" s="17">
        <f>IF($J66="","",IF($J66="Pending","",IF($J66="P",0,IF($J66="L",-$F66,IF($G66="","",IF($G66&gt;0,$F66*$G66/100,$F66*100/ABS($G66)))))))</f>
        <v/>
      </c>
      <c r="L66" s="24">
        <f>IF(OR($H66="",$I66=""),"",IF($C66="Spread",$H66-$I66,IF($C66="Under",$H66-$I66,IF($C66="Over",$I66-$H66,IF($C66="ML",(IF($I66&gt;0,100/($I66+100),ABS($I66)/(ABS($I66)+100))-IF($H66&gt;0,100/($H66+100),ABS($H66)/(ABS($H66)+100)))*100,"")))))</f>
        <v/>
      </c>
    </row>
    <row r="67">
      <c r="A67" s="23" t="n"/>
      <c r="B67" s="15" t="n"/>
      <c r="C67" s="15" t="n"/>
      <c r="D67" s="15" t="n"/>
      <c r="E67" s="15" t="n"/>
      <c r="F67" s="17">
        <f>IF($E67="","",IF($E67="Lean",Dashboard!$B$4,IF($E67="Standard",Dashboard!$B$5,IF($E67="Max",Dashboard!$B$6,IF($E67="Parlay",Dashboard!$B$7,"")))))</f>
        <v/>
      </c>
      <c r="G67" s="15" t="n"/>
      <c r="H67" s="15" t="n"/>
      <c r="I67" s="15" t="n"/>
      <c r="J67" s="15" t="n"/>
      <c r="K67" s="17">
        <f>IF($J67="","",IF($J67="Pending","",IF($J67="P",0,IF($J67="L",-$F67,IF($G67="","",IF($G67&gt;0,$F67*$G67/100,$F67*100/ABS($G67)))))))</f>
        <v/>
      </c>
      <c r="L67" s="24">
        <f>IF(OR($H67="",$I67=""),"",IF($C67="Spread",$H67-$I67,IF($C67="Under",$H67-$I67,IF($C67="Over",$I67-$H67,IF($C67="ML",(IF($I67&gt;0,100/($I67+100),ABS($I67)/(ABS($I67)+100))-IF($H67&gt;0,100/($H67+100),ABS($H67)/(ABS($H67)+100)))*100,"")))))</f>
        <v/>
      </c>
    </row>
    <row r="68">
      <c r="A68" s="23" t="n"/>
      <c r="B68" s="15" t="n"/>
      <c r="C68" s="15" t="n"/>
      <c r="D68" s="15" t="n"/>
      <c r="E68" s="15" t="n"/>
      <c r="F68" s="17">
        <f>IF($E68="","",IF($E68="Lean",Dashboard!$B$4,IF($E68="Standard",Dashboard!$B$5,IF($E68="Max",Dashboard!$B$6,IF($E68="Parlay",Dashboard!$B$7,"")))))</f>
        <v/>
      </c>
      <c r="G68" s="15" t="n"/>
      <c r="H68" s="15" t="n"/>
      <c r="I68" s="15" t="n"/>
      <c r="J68" s="15" t="n"/>
      <c r="K68" s="17">
        <f>IF($J68="","",IF($J68="Pending","",IF($J68="P",0,IF($J68="L",-$F68,IF($G68="","",IF($G68&gt;0,$F68*$G68/100,$F68*100/ABS($G68)))))))</f>
        <v/>
      </c>
      <c r="L68" s="24">
        <f>IF(OR($H68="",$I68=""),"",IF($C68="Spread",$H68-$I68,IF($C68="Under",$H68-$I68,IF($C68="Over",$I68-$H68,IF($C68="ML",(IF($I68&gt;0,100/($I68+100),ABS($I68)/(ABS($I68)+100))-IF($H68&gt;0,100/($H68+100),ABS($H68)/(ABS($H68)+100)))*100,"")))))</f>
        <v/>
      </c>
    </row>
    <row r="69">
      <c r="A69" s="23" t="n"/>
      <c r="B69" s="15" t="n"/>
      <c r="C69" s="15" t="n"/>
      <c r="D69" s="15" t="n"/>
      <c r="E69" s="15" t="n"/>
      <c r="F69" s="17">
        <f>IF($E69="","",IF($E69="Lean",Dashboard!$B$4,IF($E69="Standard",Dashboard!$B$5,IF($E69="Max",Dashboard!$B$6,IF($E69="Parlay",Dashboard!$B$7,"")))))</f>
        <v/>
      </c>
      <c r="G69" s="15" t="n"/>
      <c r="H69" s="15" t="n"/>
      <c r="I69" s="15" t="n"/>
      <c r="J69" s="15" t="n"/>
      <c r="K69" s="17">
        <f>IF($J69="","",IF($J69="Pending","",IF($J69="P",0,IF($J69="L",-$F69,IF($G69="","",IF($G69&gt;0,$F69*$G69/100,$F69*100/ABS($G69)))))))</f>
        <v/>
      </c>
      <c r="L69" s="24">
        <f>IF(OR($H69="",$I69=""),"",IF($C69="Spread",$H69-$I69,IF($C69="Under",$H69-$I69,IF($C69="Over",$I69-$H69,IF($C69="ML",(IF($I69&gt;0,100/($I69+100),ABS($I69)/(ABS($I69)+100))-IF($H69&gt;0,100/($H69+100),ABS($H69)/(ABS($H69)+100)))*100,"")))))</f>
        <v/>
      </c>
    </row>
    <row r="70">
      <c r="A70" s="23" t="n"/>
      <c r="B70" s="15" t="n"/>
      <c r="C70" s="15" t="n"/>
      <c r="D70" s="15" t="n"/>
      <c r="E70" s="15" t="n"/>
      <c r="F70" s="17">
        <f>IF($E70="","",IF($E70="Lean",Dashboard!$B$4,IF($E70="Standard",Dashboard!$B$5,IF($E70="Max",Dashboard!$B$6,IF($E70="Parlay",Dashboard!$B$7,"")))))</f>
        <v/>
      </c>
      <c r="G70" s="15" t="n"/>
      <c r="H70" s="15" t="n"/>
      <c r="I70" s="15" t="n"/>
      <c r="J70" s="15" t="n"/>
      <c r="K70" s="17">
        <f>IF($J70="","",IF($J70="Pending","",IF($J70="P",0,IF($J70="L",-$F70,IF($G70="","",IF($G70&gt;0,$F70*$G70/100,$F70*100/ABS($G70)))))))</f>
        <v/>
      </c>
      <c r="L70" s="24">
        <f>IF(OR($H70="",$I70=""),"",IF($C70="Spread",$H70-$I70,IF($C70="Under",$H70-$I70,IF($C70="Over",$I70-$H70,IF($C70="ML",(IF($I70&gt;0,100/($I70+100),ABS($I70)/(ABS($I70)+100))-IF($H70&gt;0,100/($H70+100),ABS($H70)/(ABS($H70)+100)))*100,"")))))</f>
        <v/>
      </c>
    </row>
    <row r="71">
      <c r="A71" s="23" t="n"/>
      <c r="B71" s="15" t="n"/>
      <c r="C71" s="15" t="n"/>
      <c r="D71" s="15" t="n"/>
      <c r="E71" s="15" t="n"/>
      <c r="F71" s="17">
        <f>IF($E71="","",IF($E71="Lean",Dashboard!$B$4,IF($E71="Standard",Dashboard!$B$5,IF($E71="Max",Dashboard!$B$6,IF($E71="Parlay",Dashboard!$B$7,"")))))</f>
        <v/>
      </c>
      <c r="G71" s="15" t="n"/>
      <c r="H71" s="15" t="n"/>
      <c r="I71" s="15" t="n"/>
      <c r="J71" s="15" t="n"/>
      <c r="K71" s="17">
        <f>IF($J71="","",IF($J71="Pending","",IF($J71="P",0,IF($J71="L",-$F71,IF($G71="","",IF($G71&gt;0,$F71*$G71/100,$F71*100/ABS($G71)))))))</f>
        <v/>
      </c>
      <c r="L71" s="24">
        <f>IF(OR($H71="",$I71=""),"",IF($C71="Spread",$H71-$I71,IF($C71="Under",$H71-$I71,IF($C71="Over",$I71-$H71,IF($C71="ML",(IF($I71&gt;0,100/($I71+100),ABS($I71)/(ABS($I71)+100))-IF($H71&gt;0,100/($H71+100),ABS($H71)/(ABS($H71)+100)))*100,"")))))</f>
        <v/>
      </c>
    </row>
    <row r="72">
      <c r="A72" s="23" t="n"/>
      <c r="B72" s="15" t="n"/>
      <c r="C72" s="15" t="n"/>
      <c r="D72" s="15" t="n"/>
      <c r="E72" s="15" t="n"/>
      <c r="F72" s="17">
        <f>IF($E72="","",IF($E72="Lean",Dashboard!$B$4,IF($E72="Standard",Dashboard!$B$5,IF($E72="Max",Dashboard!$B$6,IF($E72="Parlay",Dashboard!$B$7,"")))))</f>
        <v/>
      </c>
      <c r="G72" s="15" t="n"/>
      <c r="H72" s="15" t="n"/>
      <c r="I72" s="15" t="n"/>
      <c r="J72" s="15" t="n"/>
      <c r="K72" s="17">
        <f>IF($J72="","",IF($J72="Pending","",IF($J72="P",0,IF($J72="L",-$F72,IF($G72="","",IF($G72&gt;0,$F72*$G72/100,$F72*100/ABS($G72)))))))</f>
        <v/>
      </c>
      <c r="L72" s="24">
        <f>IF(OR($H72="",$I72=""),"",IF($C72="Spread",$H72-$I72,IF($C72="Under",$H72-$I72,IF($C72="Over",$I72-$H72,IF($C72="ML",(IF($I72&gt;0,100/($I72+100),ABS($I72)/(ABS($I72)+100))-IF($H72&gt;0,100/($H72+100),ABS($H72)/(ABS($H72)+100)))*100,"")))))</f>
        <v/>
      </c>
    </row>
    <row r="73">
      <c r="A73" s="23" t="n"/>
      <c r="B73" s="15" t="n"/>
      <c r="C73" s="15" t="n"/>
      <c r="D73" s="15" t="n"/>
      <c r="E73" s="15" t="n"/>
      <c r="F73" s="17">
        <f>IF($E73="","",IF($E73="Lean",Dashboard!$B$4,IF($E73="Standard",Dashboard!$B$5,IF($E73="Max",Dashboard!$B$6,IF($E73="Parlay",Dashboard!$B$7,"")))))</f>
        <v/>
      </c>
      <c r="G73" s="15" t="n"/>
      <c r="H73" s="15" t="n"/>
      <c r="I73" s="15" t="n"/>
      <c r="J73" s="15" t="n"/>
      <c r="K73" s="17">
        <f>IF($J73="","",IF($J73="Pending","",IF($J73="P",0,IF($J73="L",-$F73,IF($G73="","",IF($G73&gt;0,$F73*$G73/100,$F73*100/ABS($G73)))))))</f>
        <v/>
      </c>
      <c r="L73" s="24">
        <f>IF(OR($H73="",$I73=""),"",IF($C73="Spread",$H73-$I73,IF($C73="Under",$H73-$I73,IF($C73="Over",$I73-$H73,IF($C73="ML",(IF($I73&gt;0,100/($I73+100),ABS($I73)/(ABS($I73)+100))-IF($H73&gt;0,100/($H73+100),ABS($H73)/(ABS($H73)+100)))*100,"")))))</f>
        <v/>
      </c>
    </row>
    <row r="74">
      <c r="A74" s="23" t="n"/>
      <c r="B74" s="15" t="n"/>
      <c r="C74" s="15" t="n"/>
      <c r="D74" s="15" t="n"/>
      <c r="E74" s="15" t="n"/>
      <c r="F74" s="17">
        <f>IF($E74="","",IF($E74="Lean",Dashboard!$B$4,IF($E74="Standard",Dashboard!$B$5,IF($E74="Max",Dashboard!$B$6,IF($E74="Parlay",Dashboard!$B$7,"")))))</f>
        <v/>
      </c>
      <c r="G74" s="15" t="n"/>
      <c r="H74" s="15" t="n"/>
      <c r="I74" s="15" t="n"/>
      <c r="J74" s="15" t="n"/>
      <c r="K74" s="17">
        <f>IF($J74="","",IF($J74="Pending","",IF($J74="P",0,IF($J74="L",-$F74,IF($G74="","",IF($G74&gt;0,$F74*$G74/100,$F74*100/ABS($G74)))))))</f>
        <v/>
      </c>
      <c r="L74" s="24">
        <f>IF(OR($H74="",$I74=""),"",IF($C74="Spread",$H74-$I74,IF($C74="Under",$H74-$I74,IF($C74="Over",$I74-$H74,IF($C74="ML",(IF($I74&gt;0,100/($I74+100),ABS($I74)/(ABS($I74)+100))-IF($H74&gt;0,100/($H74+100),ABS($H74)/(ABS($H74)+100)))*100,"")))))</f>
        <v/>
      </c>
    </row>
    <row r="75">
      <c r="A75" s="23" t="n"/>
      <c r="B75" s="15" t="n"/>
      <c r="C75" s="15" t="n"/>
      <c r="D75" s="15" t="n"/>
      <c r="E75" s="15" t="n"/>
      <c r="F75" s="17">
        <f>IF($E75="","",IF($E75="Lean",Dashboard!$B$4,IF($E75="Standard",Dashboard!$B$5,IF($E75="Max",Dashboard!$B$6,IF($E75="Parlay",Dashboard!$B$7,"")))))</f>
        <v/>
      </c>
      <c r="G75" s="15" t="n"/>
      <c r="H75" s="15" t="n"/>
      <c r="I75" s="15" t="n"/>
      <c r="J75" s="15" t="n"/>
      <c r="K75" s="17">
        <f>IF($J75="","",IF($J75="Pending","",IF($J75="P",0,IF($J75="L",-$F75,IF($G75="","",IF($G75&gt;0,$F75*$G75/100,$F75*100/ABS($G75)))))))</f>
        <v/>
      </c>
      <c r="L75" s="24">
        <f>IF(OR($H75="",$I75=""),"",IF($C75="Spread",$H75-$I75,IF($C75="Under",$H75-$I75,IF($C75="Over",$I75-$H75,IF($C75="ML",(IF($I75&gt;0,100/($I75+100),ABS($I75)/(ABS($I75)+100))-IF($H75&gt;0,100/($H75+100),ABS($H75)/(ABS($H75)+100)))*100,"")))))</f>
        <v/>
      </c>
    </row>
    <row r="76">
      <c r="A76" s="23" t="n"/>
      <c r="B76" s="15" t="n"/>
      <c r="C76" s="15" t="n"/>
      <c r="D76" s="15" t="n"/>
      <c r="E76" s="15" t="n"/>
      <c r="F76" s="17">
        <f>IF($E76="","",IF($E76="Lean",Dashboard!$B$4,IF($E76="Standard",Dashboard!$B$5,IF($E76="Max",Dashboard!$B$6,IF($E76="Parlay",Dashboard!$B$7,"")))))</f>
        <v/>
      </c>
      <c r="G76" s="15" t="n"/>
      <c r="H76" s="15" t="n"/>
      <c r="I76" s="15" t="n"/>
      <c r="J76" s="15" t="n"/>
      <c r="K76" s="17">
        <f>IF($J76="","",IF($J76="Pending","",IF($J76="P",0,IF($J76="L",-$F76,IF($G76="","",IF($G76&gt;0,$F76*$G76/100,$F76*100/ABS($G76)))))))</f>
        <v/>
      </c>
      <c r="L76" s="24">
        <f>IF(OR($H76="",$I76=""),"",IF($C76="Spread",$H76-$I76,IF($C76="Under",$H76-$I76,IF($C76="Over",$I76-$H76,IF($C76="ML",(IF($I76&gt;0,100/($I76+100),ABS($I76)/(ABS($I76)+100))-IF($H76&gt;0,100/($H76+100),ABS($H76)/(ABS($H76)+100)))*100,"")))))</f>
        <v/>
      </c>
    </row>
    <row r="77">
      <c r="A77" s="23" t="n"/>
      <c r="B77" s="15" t="n"/>
      <c r="C77" s="15" t="n"/>
      <c r="D77" s="15" t="n"/>
      <c r="E77" s="15" t="n"/>
      <c r="F77" s="17">
        <f>IF($E77="","",IF($E77="Lean",Dashboard!$B$4,IF($E77="Standard",Dashboard!$B$5,IF($E77="Max",Dashboard!$B$6,IF($E77="Parlay",Dashboard!$B$7,"")))))</f>
        <v/>
      </c>
      <c r="G77" s="15" t="n"/>
      <c r="H77" s="15" t="n"/>
      <c r="I77" s="15" t="n"/>
      <c r="J77" s="15" t="n"/>
      <c r="K77" s="17">
        <f>IF($J77="","",IF($J77="Pending","",IF($J77="P",0,IF($J77="L",-$F77,IF($G77="","",IF($G77&gt;0,$F77*$G77/100,$F77*100/ABS($G77)))))))</f>
        <v/>
      </c>
      <c r="L77" s="24">
        <f>IF(OR($H77="",$I77=""),"",IF($C77="Spread",$H77-$I77,IF($C77="Under",$H77-$I77,IF($C77="Over",$I77-$H77,IF($C77="ML",(IF($I77&gt;0,100/($I77+100),ABS($I77)/(ABS($I77)+100))-IF($H77&gt;0,100/($H77+100),ABS($H77)/(ABS($H77)+100)))*100,"")))))</f>
        <v/>
      </c>
    </row>
    <row r="78">
      <c r="A78" s="23" t="n"/>
      <c r="B78" s="15" t="n"/>
      <c r="C78" s="15" t="n"/>
      <c r="D78" s="15" t="n"/>
      <c r="E78" s="15" t="n"/>
      <c r="F78" s="17">
        <f>IF($E78="","",IF($E78="Lean",Dashboard!$B$4,IF($E78="Standard",Dashboard!$B$5,IF($E78="Max",Dashboard!$B$6,IF($E78="Parlay",Dashboard!$B$7,"")))))</f>
        <v/>
      </c>
      <c r="G78" s="15" t="n"/>
      <c r="H78" s="15" t="n"/>
      <c r="I78" s="15" t="n"/>
      <c r="J78" s="15" t="n"/>
      <c r="K78" s="17">
        <f>IF($J78="","",IF($J78="Pending","",IF($J78="P",0,IF($J78="L",-$F78,IF($G78="","",IF($G78&gt;0,$F78*$G78/100,$F78*100/ABS($G78)))))))</f>
        <v/>
      </c>
      <c r="L78" s="24">
        <f>IF(OR($H78="",$I78=""),"",IF($C78="Spread",$H78-$I78,IF($C78="Under",$H78-$I78,IF($C78="Over",$I78-$H78,IF($C78="ML",(IF($I78&gt;0,100/($I78+100),ABS($I78)/(ABS($I78)+100))-IF($H78&gt;0,100/($H78+100),ABS($H78)/(ABS($H78)+100)))*100,"")))))</f>
        <v/>
      </c>
    </row>
    <row r="79">
      <c r="A79" s="23" t="n"/>
      <c r="B79" s="15" t="n"/>
      <c r="C79" s="15" t="n"/>
      <c r="D79" s="15" t="n"/>
      <c r="E79" s="15" t="n"/>
      <c r="F79" s="17">
        <f>IF($E79="","",IF($E79="Lean",Dashboard!$B$4,IF($E79="Standard",Dashboard!$B$5,IF($E79="Max",Dashboard!$B$6,IF($E79="Parlay",Dashboard!$B$7,"")))))</f>
        <v/>
      </c>
      <c r="G79" s="15" t="n"/>
      <c r="H79" s="15" t="n"/>
      <c r="I79" s="15" t="n"/>
      <c r="J79" s="15" t="n"/>
      <c r="K79" s="17">
        <f>IF($J79="","",IF($J79="Pending","",IF($J79="P",0,IF($J79="L",-$F79,IF($G79="","",IF($G79&gt;0,$F79*$G79/100,$F79*100/ABS($G79)))))))</f>
        <v/>
      </c>
      <c r="L79" s="24">
        <f>IF(OR($H79="",$I79=""),"",IF($C79="Spread",$H79-$I79,IF($C79="Under",$H79-$I79,IF($C79="Over",$I79-$H79,IF($C79="ML",(IF($I79&gt;0,100/($I79+100),ABS($I79)/(ABS($I79)+100))-IF($H79&gt;0,100/($H79+100),ABS($H79)/(ABS($H79)+100)))*100,"")))))</f>
        <v/>
      </c>
    </row>
    <row r="80">
      <c r="A80" s="23" t="n"/>
      <c r="B80" s="15" t="n"/>
      <c r="C80" s="15" t="n"/>
      <c r="D80" s="15" t="n"/>
      <c r="E80" s="15" t="n"/>
      <c r="F80" s="17">
        <f>IF($E80="","",IF($E80="Lean",Dashboard!$B$4,IF($E80="Standard",Dashboard!$B$5,IF($E80="Max",Dashboard!$B$6,IF($E80="Parlay",Dashboard!$B$7,"")))))</f>
        <v/>
      </c>
      <c r="G80" s="15" t="n"/>
      <c r="H80" s="15" t="n"/>
      <c r="I80" s="15" t="n"/>
      <c r="J80" s="15" t="n"/>
      <c r="K80" s="17">
        <f>IF($J80="","",IF($J80="Pending","",IF($J80="P",0,IF($J80="L",-$F80,IF($G80="","",IF($G80&gt;0,$F80*$G80/100,$F80*100/ABS($G80)))))))</f>
        <v/>
      </c>
      <c r="L80" s="24">
        <f>IF(OR($H80="",$I80=""),"",IF($C80="Spread",$H80-$I80,IF($C80="Under",$H80-$I80,IF($C80="Over",$I80-$H80,IF($C80="ML",(IF($I80&gt;0,100/($I80+100),ABS($I80)/(ABS($I80)+100))-IF($H80&gt;0,100/($H80+100),ABS($H80)/(ABS($H80)+100)))*100,"")))))</f>
        <v/>
      </c>
    </row>
    <row r="81">
      <c r="A81" s="23" t="n"/>
      <c r="B81" s="15" t="n"/>
      <c r="C81" s="15" t="n"/>
      <c r="D81" s="15" t="n"/>
      <c r="E81" s="15" t="n"/>
      <c r="F81" s="17">
        <f>IF($E81="","",IF($E81="Lean",Dashboard!$B$4,IF($E81="Standard",Dashboard!$B$5,IF($E81="Max",Dashboard!$B$6,IF($E81="Parlay",Dashboard!$B$7,"")))))</f>
        <v/>
      </c>
      <c r="G81" s="15" t="n"/>
      <c r="H81" s="15" t="n"/>
      <c r="I81" s="15" t="n"/>
      <c r="J81" s="15" t="n"/>
      <c r="K81" s="17">
        <f>IF($J81="","",IF($J81="Pending","",IF($J81="P",0,IF($J81="L",-$F81,IF($G81="","",IF($G81&gt;0,$F81*$G81/100,$F81*100/ABS($G81)))))))</f>
        <v/>
      </c>
      <c r="L81" s="24">
        <f>IF(OR($H81="",$I81=""),"",IF($C81="Spread",$H81-$I81,IF($C81="Under",$H81-$I81,IF($C81="Over",$I81-$H81,IF($C81="ML",(IF($I81&gt;0,100/($I81+100),ABS($I81)/(ABS($I81)+100))-IF($H81&gt;0,100/($H81+100),ABS($H81)/(ABS($H81)+100)))*100,"")))))</f>
        <v/>
      </c>
    </row>
    <row r="82">
      <c r="A82" s="23" t="n"/>
      <c r="B82" s="15" t="n"/>
      <c r="C82" s="15" t="n"/>
      <c r="D82" s="15" t="n"/>
      <c r="E82" s="15" t="n"/>
      <c r="F82" s="17">
        <f>IF($E82="","",IF($E82="Lean",Dashboard!$B$4,IF($E82="Standard",Dashboard!$B$5,IF($E82="Max",Dashboard!$B$6,IF($E82="Parlay",Dashboard!$B$7,"")))))</f>
        <v/>
      </c>
      <c r="G82" s="15" t="n"/>
      <c r="H82" s="15" t="n"/>
      <c r="I82" s="15" t="n"/>
      <c r="J82" s="15" t="n"/>
      <c r="K82" s="17">
        <f>IF($J82="","",IF($J82="Pending","",IF($J82="P",0,IF($J82="L",-$F82,IF($G82="","",IF($G82&gt;0,$F82*$G82/100,$F82*100/ABS($G82)))))))</f>
        <v/>
      </c>
      <c r="L82" s="24">
        <f>IF(OR($H82="",$I82=""),"",IF($C82="Spread",$H82-$I82,IF($C82="Under",$H82-$I82,IF($C82="Over",$I82-$H82,IF($C82="ML",(IF($I82&gt;0,100/($I82+100),ABS($I82)/(ABS($I82)+100))-IF($H82&gt;0,100/($H82+100),ABS($H82)/(ABS($H82)+100)))*100,"")))))</f>
        <v/>
      </c>
    </row>
    <row r="83">
      <c r="A83" s="23" t="n"/>
      <c r="B83" s="15" t="n"/>
      <c r="C83" s="15" t="n"/>
      <c r="D83" s="15" t="n"/>
      <c r="E83" s="15" t="n"/>
      <c r="F83" s="17">
        <f>IF($E83="","",IF($E83="Lean",Dashboard!$B$4,IF($E83="Standard",Dashboard!$B$5,IF($E83="Max",Dashboard!$B$6,IF($E83="Parlay",Dashboard!$B$7,"")))))</f>
        <v/>
      </c>
      <c r="G83" s="15" t="n"/>
      <c r="H83" s="15" t="n"/>
      <c r="I83" s="15" t="n"/>
      <c r="J83" s="15" t="n"/>
      <c r="K83" s="17">
        <f>IF($J83="","",IF($J83="Pending","",IF($J83="P",0,IF($J83="L",-$F83,IF($G83="","",IF($G83&gt;0,$F83*$G83/100,$F83*100/ABS($G83)))))))</f>
        <v/>
      </c>
      <c r="L83" s="24">
        <f>IF(OR($H83="",$I83=""),"",IF($C83="Spread",$H83-$I83,IF($C83="Under",$H83-$I83,IF($C83="Over",$I83-$H83,IF($C83="ML",(IF($I83&gt;0,100/($I83+100),ABS($I83)/(ABS($I83)+100))-IF($H83&gt;0,100/($H83+100),ABS($H83)/(ABS($H83)+100)))*100,"")))))</f>
        <v/>
      </c>
    </row>
    <row r="84">
      <c r="A84" s="23" t="n"/>
      <c r="B84" s="15" t="n"/>
      <c r="C84" s="15" t="n"/>
      <c r="D84" s="15" t="n"/>
      <c r="E84" s="15" t="n"/>
      <c r="F84" s="17">
        <f>IF($E84="","",IF($E84="Lean",Dashboard!$B$4,IF($E84="Standard",Dashboard!$B$5,IF($E84="Max",Dashboard!$B$6,IF($E84="Parlay",Dashboard!$B$7,"")))))</f>
        <v/>
      </c>
      <c r="G84" s="15" t="n"/>
      <c r="H84" s="15" t="n"/>
      <c r="I84" s="15" t="n"/>
      <c r="J84" s="15" t="n"/>
      <c r="K84" s="17">
        <f>IF($J84="","",IF($J84="Pending","",IF($J84="P",0,IF($J84="L",-$F84,IF($G84="","",IF($G84&gt;0,$F84*$G84/100,$F84*100/ABS($G84)))))))</f>
        <v/>
      </c>
      <c r="L84" s="24">
        <f>IF(OR($H84="",$I84=""),"",IF($C84="Spread",$H84-$I84,IF($C84="Under",$H84-$I84,IF($C84="Over",$I84-$H84,IF($C84="ML",(IF($I84&gt;0,100/($I84+100),ABS($I84)/(ABS($I84)+100))-IF($H84&gt;0,100/($H84+100),ABS($H84)/(ABS($H84)+100)))*100,"")))))</f>
        <v/>
      </c>
    </row>
    <row r="85">
      <c r="A85" s="23" t="n"/>
      <c r="B85" s="15" t="n"/>
      <c r="C85" s="15" t="n"/>
      <c r="D85" s="15" t="n"/>
      <c r="E85" s="15" t="n"/>
      <c r="F85" s="17">
        <f>IF($E85="","",IF($E85="Lean",Dashboard!$B$4,IF($E85="Standard",Dashboard!$B$5,IF($E85="Max",Dashboard!$B$6,IF($E85="Parlay",Dashboard!$B$7,"")))))</f>
        <v/>
      </c>
      <c r="G85" s="15" t="n"/>
      <c r="H85" s="15" t="n"/>
      <c r="I85" s="15" t="n"/>
      <c r="J85" s="15" t="n"/>
      <c r="K85" s="17">
        <f>IF($J85="","",IF($J85="Pending","",IF($J85="P",0,IF($J85="L",-$F85,IF($G85="","",IF($G85&gt;0,$F85*$G85/100,$F85*100/ABS($G85)))))))</f>
        <v/>
      </c>
      <c r="L85" s="24">
        <f>IF(OR($H85="",$I85=""),"",IF($C85="Spread",$H85-$I85,IF($C85="Under",$H85-$I85,IF($C85="Over",$I85-$H85,IF($C85="ML",(IF($I85&gt;0,100/($I85+100),ABS($I85)/(ABS($I85)+100))-IF($H85&gt;0,100/($H85+100),ABS($H85)/(ABS($H85)+100)))*100,"")))))</f>
        <v/>
      </c>
    </row>
    <row r="86">
      <c r="A86" s="23" t="n"/>
      <c r="B86" s="15" t="n"/>
      <c r="C86" s="15" t="n"/>
      <c r="D86" s="15" t="n"/>
      <c r="E86" s="15" t="n"/>
      <c r="F86" s="17">
        <f>IF($E86="","",IF($E86="Lean",Dashboard!$B$4,IF($E86="Standard",Dashboard!$B$5,IF($E86="Max",Dashboard!$B$6,IF($E86="Parlay",Dashboard!$B$7,"")))))</f>
        <v/>
      </c>
      <c r="G86" s="15" t="n"/>
      <c r="H86" s="15" t="n"/>
      <c r="I86" s="15" t="n"/>
      <c r="J86" s="15" t="n"/>
      <c r="K86" s="17">
        <f>IF($J86="","",IF($J86="Pending","",IF($J86="P",0,IF($J86="L",-$F86,IF($G86="","",IF($G86&gt;0,$F86*$G86/100,$F86*100/ABS($G86)))))))</f>
        <v/>
      </c>
      <c r="L86" s="24">
        <f>IF(OR($H86="",$I86=""),"",IF($C86="Spread",$H86-$I86,IF($C86="Under",$H86-$I86,IF($C86="Over",$I86-$H86,IF($C86="ML",(IF($I86&gt;0,100/($I86+100),ABS($I86)/(ABS($I86)+100))-IF($H86&gt;0,100/($H86+100),ABS($H86)/(ABS($H86)+100)))*100,"")))))</f>
        <v/>
      </c>
    </row>
    <row r="87">
      <c r="A87" s="23" t="n"/>
      <c r="B87" s="15" t="n"/>
      <c r="C87" s="15" t="n"/>
      <c r="D87" s="15" t="n"/>
      <c r="E87" s="15" t="n"/>
      <c r="F87" s="17">
        <f>IF($E87="","",IF($E87="Lean",Dashboard!$B$4,IF($E87="Standard",Dashboard!$B$5,IF($E87="Max",Dashboard!$B$6,IF($E87="Parlay",Dashboard!$B$7,"")))))</f>
        <v/>
      </c>
      <c r="G87" s="15" t="n"/>
      <c r="H87" s="15" t="n"/>
      <c r="I87" s="15" t="n"/>
      <c r="J87" s="15" t="n"/>
      <c r="K87" s="17">
        <f>IF($J87="","",IF($J87="Pending","",IF($J87="P",0,IF($J87="L",-$F87,IF($G87="","",IF($G87&gt;0,$F87*$G87/100,$F87*100/ABS($G87)))))))</f>
        <v/>
      </c>
      <c r="L87" s="24">
        <f>IF(OR($H87="",$I87=""),"",IF($C87="Spread",$H87-$I87,IF($C87="Under",$H87-$I87,IF($C87="Over",$I87-$H87,IF($C87="ML",(IF($I87&gt;0,100/($I87+100),ABS($I87)/(ABS($I87)+100))-IF($H87&gt;0,100/($H87+100),ABS($H87)/(ABS($H87)+100)))*100,"")))))</f>
        <v/>
      </c>
    </row>
    <row r="88">
      <c r="A88" s="23" t="n"/>
      <c r="B88" s="15" t="n"/>
      <c r="C88" s="15" t="n"/>
      <c r="D88" s="15" t="n"/>
      <c r="E88" s="15" t="n"/>
      <c r="F88" s="17">
        <f>IF($E88="","",IF($E88="Lean",Dashboard!$B$4,IF($E88="Standard",Dashboard!$B$5,IF($E88="Max",Dashboard!$B$6,IF($E88="Parlay",Dashboard!$B$7,"")))))</f>
        <v/>
      </c>
      <c r="G88" s="15" t="n"/>
      <c r="H88" s="15" t="n"/>
      <c r="I88" s="15" t="n"/>
      <c r="J88" s="15" t="n"/>
      <c r="K88" s="17">
        <f>IF($J88="","",IF($J88="Pending","",IF($J88="P",0,IF($J88="L",-$F88,IF($G88="","",IF($G88&gt;0,$F88*$G88/100,$F88*100/ABS($G88)))))))</f>
        <v/>
      </c>
      <c r="L88" s="24">
        <f>IF(OR($H88="",$I88=""),"",IF($C88="Spread",$H88-$I88,IF($C88="Under",$H88-$I88,IF($C88="Over",$I88-$H88,IF($C88="ML",(IF($I88&gt;0,100/($I88+100),ABS($I88)/(ABS($I88)+100))-IF($H88&gt;0,100/($H88+100),ABS($H88)/(ABS($H88)+100)))*100,"")))))</f>
        <v/>
      </c>
    </row>
    <row r="89">
      <c r="A89" s="23" t="n"/>
      <c r="B89" s="15" t="n"/>
      <c r="C89" s="15" t="n"/>
      <c r="D89" s="15" t="n"/>
      <c r="E89" s="15" t="n"/>
      <c r="F89" s="17">
        <f>IF($E89="","",IF($E89="Lean",Dashboard!$B$4,IF($E89="Standard",Dashboard!$B$5,IF($E89="Max",Dashboard!$B$6,IF($E89="Parlay",Dashboard!$B$7,"")))))</f>
        <v/>
      </c>
      <c r="G89" s="15" t="n"/>
      <c r="H89" s="15" t="n"/>
      <c r="I89" s="15" t="n"/>
      <c r="J89" s="15" t="n"/>
      <c r="K89" s="17">
        <f>IF($J89="","",IF($J89="Pending","",IF($J89="P",0,IF($J89="L",-$F89,IF($G89="","",IF($G89&gt;0,$F89*$G89/100,$F89*100/ABS($G89)))))))</f>
        <v/>
      </c>
      <c r="L89" s="24">
        <f>IF(OR($H89="",$I89=""),"",IF($C89="Spread",$H89-$I89,IF($C89="Under",$H89-$I89,IF($C89="Over",$I89-$H89,IF($C89="ML",(IF($I89&gt;0,100/($I89+100),ABS($I89)/(ABS($I89)+100))-IF($H89&gt;0,100/($H89+100),ABS($H89)/(ABS($H89)+100)))*100,"")))))</f>
        <v/>
      </c>
    </row>
    <row r="90">
      <c r="A90" s="23" t="n"/>
      <c r="B90" s="15" t="n"/>
      <c r="C90" s="15" t="n"/>
      <c r="D90" s="15" t="n"/>
      <c r="E90" s="15" t="n"/>
      <c r="F90" s="17">
        <f>IF($E90="","",IF($E90="Lean",Dashboard!$B$4,IF($E90="Standard",Dashboard!$B$5,IF($E90="Max",Dashboard!$B$6,IF($E90="Parlay",Dashboard!$B$7,"")))))</f>
        <v/>
      </c>
      <c r="G90" s="15" t="n"/>
      <c r="H90" s="15" t="n"/>
      <c r="I90" s="15" t="n"/>
      <c r="J90" s="15" t="n"/>
      <c r="K90" s="17">
        <f>IF($J90="","",IF($J90="Pending","",IF($J90="P",0,IF($J90="L",-$F90,IF($G90="","",IF($G90&gt;0,$F90*$G90/100,$F90*100/ABS($G90)))))))</f>
        <v/>
      </c>
      <c r="L90" s="24">
        <f>IF(OR($H90="",$I90=""),"",IF($C90="Spread",$H90-$I90,IF($C90="Under",$H90-$I90,IF($C90="Over",$I90-$H90,IF($C90="ML",(IF($I90&gt;0,100/($I90+100),ABS($I90)/(ABS($I90)+100))-IF($H90&gt;0,100/($H90+100),ABS($H90)/(ABS($H90)+100)))*100,"")))))</f>
        <v/>
      </c>
    </row>
    <row r="91">
      <c r="A91" s="23" t="n"/>
      <c r="B91" s="15" t="n"/>
      <c r="C91" s="15" t="n"/>
      <c r="D91" s="15" t="n"/>
      <c r="E91" s="15" t="n"/>
      <c r="F91" s="17">
        <f>IF($E91="","",IF($E91="Lean",Dashboard!$B$4,IF($E91="Standard",Dashboard!$B$5,IF($E91="Max",Dashboard!$B$6,IF($E91="Parlay",Dashboard!$B$7,"")))))</f>
        <v/>
      </c>
      <c r="G91" s="15" t="n"/>
      <c r="H91" s="15" t="n"/>
      <c r="I91" s="15" t="n"/>
      <c r="J91" s="15" t="n"/>
      <c r="K91" s="17">
        <f>IF($J91="","",IF($J91="Pending","",IF($J91="P",0,IF($J91="L",-$F91,IF($G91="","",IF($G91&gt;0,$F91*$G91/100,$F91*100/ABS($G91)))))))</f>
        <v/>
      </c>
      <c r="L91" s="24">
        <f>IF(OR($H91="",$I91=""),"",IF($C91="Spread",$H91-$I91,IF($C91="Under",$H91-$I91,IF($C91="Over",$I91-$H91,IF($C91="ML",(IF($I91&gt;0,100/($I91+100),ABS($I91)/(ABS($I91)+100))-IF($H91&gt;0,100/($H91+100),ABS($H91)/(ABS($H91)+100)))*100,"")))))</f>
        <v/>
      </c>
    </row>
    <row r="92">
      <c r="A92" s="23" t="n"/>
      <c r="B92" s="15" t="n"/>
      <c r="C92" s="15" t="n"/>
      <c r="D92" s="15" t="n"/>
      <c r="E92" s="15" t="n"/>
      <c r="F92" s="17">
        <f>IF($E92="","",IF($E92="Lean",Dashboard!$B$4,IF($E92="Standard",Dashboard!$B$5,IF($E92="Max",Dashboard!$B$6,IF($E92="Parlay",Dashboard!$B$7,"")))))</f>
        <v/>
      </c>
      <c r="G92" s="15" t="n"/>
      <c r="H92" s="15" t="n"/>
      <c r="I92" s="15" t="n"/>
      <c r="J92" s="15" t="n"/>
      <c r="K92" s="17">
        <f>IF($J92="","",IF($J92="Pending","",IF($J92="P",0,IF($J92="L",-$F92,IF($G92="","",IF($G92&gt;0,$F92*$G92/100,$F92*100/ABS($G92)))))))</f>
        <v/>
      </c>
      <c r="L92" s="24">
        <f>IF(OR($H92="",$I92=""),"",IF($C92="Spread",$H92-$I92,IF($C92="Under",$H92-$I92,IF($C92="Over",$I92-$H92,IF($C92="ML",(IF($I92&gt;0,100/($I92+100),ABS($I92)/(ABS($I92)+100))-IF($H92&gt;0,100/($H92+100),ABS($H92)/(ABS($H92)+100)))*100,"")))))</f>
        <v/>
      </c>
    </row>
    <row r="93">
      <c r="A93" s="23" t="n"/>
      <c r="B93" s="15" t="n"/>
      <c r="C93" s="15" t="n"/>
      <c r="D93" s="15" t="n"/>
      <c r="E93" s="15" t="n"/>
      <c r="F93" s="17">
        <f>IF($E93="","",IF($E93="Lean",Dashboard!$B$4,IF($E93="Standard",Dashboard!$B$5,IF($E93="Max",Dashboard!$B$6,IF($E93="Parlay",Dashboard!$B$7,"")))))</f>
        <v/>
      </c>
      <c r="G93" s="15" t="n"/>
      <c r="H93" s="15" t="n"/>
      <c r="I93" s="15" t="n"/>
      <c r="J93" s="15" t="n"/>
      <c r="K93" s="17">
        <f>IF($J93="","",IF($J93="Pending","",IF($J93="P",0,IF($J93="L",-$F93,IF($G93="","",IF($G93&gt;0,$F93*$G93/100,$F93*100/ABS($G93)))))))</f>
        <v/>
      </c>
      <c r="L93" s="24">
        <f>IF(OR($H93="",$I93=""),"",IF($C93="Spread",$H93-$I93,IF($C93="Under",$H93-$I93,IF($C93="Over",$I93-$H93,IF($C93="ML",(IF($I93&gt;0,100/($I93+100),ABS($I93)/(ABS($I93)+100))-IF($H93&gt;0,100/($H93+100),ABS($H93)/(ABS($H93)+100)))*100,"")))))</f>
        <v/>
      </c>
    </row>
    <row r="94">
      <c r="A94" s="23" t="n"/>
      <c r="B94" s="15" t="n"/>
      <c r="C94" s="15" t="n"/>
      <c r="D94" s="15" t="n"/>
      <c r="E94" s="15" t="n"/>
      <c r="F94" s="17">
        <f>IF($E94="","",IF($E94="Lean",Dashboard!$B$4,IF($E94="Standard",Dashboard!$B$5,IF($E94="Max",Dashboard!$B$6,IF($E94="Parlay",Dashboard!$B$7,"")))))</f>
        <v/>
      </c>
      <c r="G94" s="15" t="n"/>
      <c r="H94" s="15" t="n"/>
      <c r="I94" s="15" t="n"/>
      <c r="J94" s="15" t="n"/>
      <c r="K94" s="17">
        <f>IF($J94="","",IF($J94="Pending","",IF($J94="P",0,IF($J94="L",-$F94,IF($G94="","",IF($G94&gt;0,$F94*$G94/100,$F94*100/ABS($G94)))))))</f>
        <v/>
      </c>
      <c r="L94" s="24">
        <f>IF(OR($H94="",$I94=""),"",IF($C94="Spread",$H94-$I94,IF($C94="Under",$H94-$I94,IF($C94="Over",$I94-$H94,IF($C94="ML",(IF($I94&gt;0,100/($I94+100),ABS($I94)/(ABS($I94)+100))-IF($H94&gt;0,100/($H94+100),ABS($H94)/(ABS($H94)+100)))*100,"")))))</f>
        <v/>
      </c>
    </row>
    <row r="95">
      <c r="A95" s="23" t="n"/>
      <c r="B95" s="15" t="n"/>
      <c r="C95" s="15" t="n"/>
      <c r="D95" s="15" t="n"/>
      <c r="E95" s="15" t="n"/>
      <c r="F95" s="17">
        <f>IF($E95="","",IF($E95="Lean",Dashboard!$B$4,IF($E95="Standard",Dashboard!$B$5,IF($E95="Max",Dashboard!$B$6,IF($E95="Parlay",Dashboard!$B$7,"")))))</f>
        <v/>
      </c>
      <c r="G95" s="15" t="n"/>
      <c r="H95" s="15" t="n"/>
      <c r="I95" s="15" t="n"/>
      <c r="J95" s="15" t="n"/>
      <c r="K95" s="17">
        <f>IF($J95="","",IF($J95="Pending","",IF($J95="P",0,IF($J95="L",-$F95,IF($G95="","",IF($G95&gt;0,$F95*$G95/100,$F95*100/ABS($G95)))))))</f>
        <v/>
      </c>
      <c r="L95" s="24">
        <f>IF(OR($H95="",$I95=""),"",IF($C95="Spread",$H95-$I95,IF($C95="Under",$H95-$I95,IF($C95="Over",$I95-$H95,IF($C95="ML",(IF($I95&gt;0,100/($I95+100),ABS($I95)/(ABS($I95)+100))-IF($H95&gt;0,100/($H95+100),ABS($H95)/(ABS($H95)+100)))*100,"")))))</f>
        <v/>
      </c>
    </row>
    <row r="96">
      <c r="A96" s="23" t="n"/>
      <c r="B96" s="15" t="n"/>
      <c r="C96" s="15" t="n"/>
      <c r="D96" s="15" t="n"/>
      <c r="E96" s="15" t="n"/>
      <c r="F96" s="17">
        <f>IF($E96="","",IF($E96="Lean",Dashboard!$B$4,IF($E96="Standard",Dashboard!$B$5,IF($E96="Max",Dashboard!$B$6,IF($E96="Parlay",Dashboard!$B$7,"")))))</f>
        <v/>
      </c>
      <c r="G96" s="15" t="n"/>
      <c r="H96" s="15" t="n"/>
      <c r="I96" s="15" t="n"/>
      <c r="J96" s="15" t="n"/>
      <c r="K96" s="17">
        <f>IF($J96="","",IF($J96="Pending","",IF($J96="P",0,IF($J96="L",-$F96,IF($G96="","",IF($G96&gt;0,$F96*$G96/100,$F96*100/ABS($G96)))))))</f>
        <v/>
      </c>
      <c r="L96" s="24">
        <f>IF(OR($H96="",$I96=""),"",IF($C96="Spread",$H96-$I96,IF($C96="Under",$H96-$I96,IF($C96="Over",$I96-$H96,IF($C96="ML",(IF($I96&gt;0,100/($I96+100),ABS($I96)/(ABS($I96)+100))-IF($H96&gt;0,100/($H96+100),ABS($H96)/(ABS($H96)+100)))*100,"")))))</f>
        <v/>
      </c>
    </row>
    <row r="97">
      <c r="A97" s="23" t="n"/>
      <c r="B97" s="15" t="n"/>
      <c r="C97" s="15" t="n"/>
      <c r="D97" s="15" t="n"/>
      <c r="E97" s="15" t="n"/>
      <c r="F97" s="17">
        <f>IF($E97="","",IF($E97="Lean",Dashboard!$B$4,IF($E97="Standard",Dashboard!$B$5,IF($E97="Max",Dashboard!$B$6,IF($E97="Parlay",Dashboard!$B$7,"")))))</f>
        <v/>
      </c>
      <c r="G97" s="15" t="n"/>
      <c r="H97" s="15" t="n"/>
      <c r="I97" s="15" t="n"/>
      <c r="J97" s="15" t="n"/>
      <c r="K97" s="17">
        <f>IF($J97="","",IF($J97="Pending","",IF($J97="P",0,IF($J97="L",-$F97,IF($G97="","",IF($G97&gt;0,$F97*$G97/100,$F97*100/ABS($G97)))))))</f>
        <v/>
      </c>
      <c r="L97" s="24">
        <f>IF(OR($H97="",$I97=""),"",IF($C97="Spread",$H97-$I97,IF($C97="Under",$H97-$I97,IF($C97="Over",$I97-$H97,IF($C97="ML",(IF($I97&gt;0,100/($I97+100),ABS($I97)/(ABS($I97)+100))-IF($H97&gt;0,100/($H97+100),ABS($H97)/(ABS($H97)+100)))*100,"")))))</f>
        <v/>
      </c>
    </row>
    <row r="98">
      <c r="A98" s="23" t="n"/>
      <c r="B98" s="15" t="n"/>
      <c r="C98" s="15" t="n"/>
      <c r="D98" s="15" t="n"/>
      <c r="E98" s="15" t="n"/>
      <c r="F98" s="17">
        <f>IF($E98="","",IF($E98="Lean",Dashboard!$B$4,IF($E98="Standard",Dashboard!$B$5,IF($E98="Max",Dashboard!$B$6,IF($E98="Parlay",Dashboard!$B$7,"")))))</f>
        <v/>
      </c>
      <c r="G98" s="15" t="n"/>
      <c r="H98" s="15" t="n"/>
      <c r="I98" s="15" t="n"/>
      <c r="J98" s="15" t="n"/>
      <c r="K98" s="17">
        <f>IF($J98="","",IF($J98="Pending","",IF($J98="P",0,IF($J98="L",-$F98,IF($G98="","",IF($G98&gt;0,$F98*$G98/100,$F98*100/ABS($G98)))))))</f>
        <v/>
      </c>
      <c r="L98" s="24">
        <f>IF(OR($H98="",$I98=""),"",IF($C98="Spread",$H98-$I98,IF($C98="Under",$H98-$I98,IF($C98="Over",$I98-$H98,IF($C98="ML",(IF($I98&gt;0,100/($I98+100),ABS($I98)/(ABS($I98)+100))-IF($H98&gt;0,100/($H98+100),ABS($H98)/(ABS($H98)+100)))*100,"")))))</f>
        <v/>
      </c>
    </row>
    <row r="99">
      <c r="A99" s="23" t="n"/>
      <c r="B99" s="15" t="n"/>
      <c r="C99" s="15" t="n"/>
      <c r="D99" s="15" t="n"/>
      <c r="E99" s="15" t="n"/>
      <c r="F99" s="17">
        <f>IF($E99="","",IF($E99="Lean",Dashboard!$B$4,IF($E99="Standard",Dashboard!$B$5,IF($E99="Max",Dashboard!$B$6,IF($E99="Parlay",Dashboard!$B$7,"")))))</f>
        <v/>
      </c>
      <c r="G99" s="15" t="n"/>
      <c r="H99" s="15" t="n"/>
      <c r="I99" s="15" t="n"/>
      <c r="J99" s="15" t="n"/>
      <c r="K99" s="17">
        <f>IF($J99="","",IF($J99="Pending","",IF($J99="P",0,IF($J99="L",-$F99,IF($G99="","",IF($G99&gt;0,$F99*$G99/100,$F99*100/ABS($G99)))))))</f>
        <v/>
      </c>
      <c r="L99" s="24">
        <f>IF(OR($H99="",$I99=""),"",IF($C99="Spread",$H99-$I99,IF($C99="Under",$H99-$I99,IF($C99="Over",$I99-$H99,IF($C99="ML",(IF($I99&gt;0,100/($I99+100),ABS($I99)/(ABS($I99)+100))-IF($H99&gt;0,100/($H99+100),ABS($H99)/(ABS($H99)+100)))*100,"")))))</f>
        <v/>
      </c>
    </row>
    <row r="100">
      <c r="A100" s="23" t="n"/>
      <c r="B100" s="15" t="n"/>
      <c r="C100" s="15" t="n"/>
      <c r="D100" s="15" t="n"/>
      <c r="E100" s="15" t="n"/>
      <c r="F100" s="17">
        <f>IF($E100="","",IF($E100="Lean",Dashboard!$B$4,IF($E100="Standard",Dashboard!$B$5,IF($E100="Max",Dashboard!$B$6,IF($E100="Parlay",Dashboard!$B$7,"")))))</f>
        <v/>
      </c>
      <c r="G100" s="15" t="n"/>
      <c r="H100" s="15" t="n"/>
      <c r="I100" s="15" t="n"/>
      <c r="J100" s="15" t="n"/>
      <c r="K100" s="17">
        <f>IF($J100="","",IF($J100="Pending","",IF($J100="P",0,IF($J100="L",-$F100,IF($G100="","",IF($G100&gt;0,$F100*$G100/100,$F100*100/ABS($G100)))))))</f>
        <v/>
      </c>
      <c r="L100" s="24">
        <f>IF(OR($H100="",$I100=""),"",IF($C100="Spread",$H100-$I100,IF($C100="Under",$H100-$I100,IF($C100="Over",$I100-$H100,IF($C100="ML",(IF($I100&gt;0,100/($I100+100),ABS($I100)/(ABS($I100)+100))-IF($H100&gt;0,100/($H100+100),ABS($H100)/(ABS($H100)+100)))*100,"")))))</f>
        <v/>
      </c>
    </row>
    <row r="101">
      <c r="A101" s="23" t="n"/>
      <c r="B101" s="15" t="n"/>
      <c r="C101" s="15" t="n"/>
      <c r="D101" s="15" t="n"/>
      <c r="E101" s="15" t="n"/>
      <c r="F101" s="17">
        <f>IF($E101="","",IF($E101="Lean",Dashboard!$B$4,IF($E101="Standard",Dashboard!$B$5,IF($E101="Max",Dashboard!$B$6,IF($E101="Parlay",Dashboard!$B$7,"")))))</f>
        <v/>
      </c>
      <c r="G101" s="15" t="n"/>
      <c r="H101" s="15" t="n"/>
      <c r="I101" s="15" t="n"/>
      <c r="J101" s="15" t="n"/>
      <c r="K101" s="17">
        <f>IF($J101="","",IF($J101="Pending","",IF($J101="P",0,IF($J101="L",-$F101,IF($G101="","",IF($G101&gt;0,$F101*$G101/100,$F101*100/ABS($G101)))))))</f>
        <v/>
      </c>
      <c r="L101" s="24">
        <f>IF(OR($H101="",$I101=""),"",IF($C101="Spread",$H101-$I101,IF($C101="Under",$H101-$I101,IF($C101="Over",$I101-$H101,IF($C101="ML",(IF($I101&gt;0,100/($I101+100),ABS($I101)/(ABS($I101)+100))-IF($H101&gt;0,100/($H101+100),ABS($H101)/(ABS($H101)+100)))*100,"")))))</f>
        <v/>
      </c>
    </row>
    <row r="102">
      <c r="A102" s="23" t="n"/>
      <c r="B102" s="15" t="n"/>
      <c r="C102" s="15" t="n"/>
      <c r="D102" s="15" t="n"/>
      <c r="E102" s="15" t="n"/>
      <c r="F102" s="17">
        <f>IF($E102="","",IF($E102="Lean",Dashboard!$B$4,IF($E102="Standard",Dashboard!$B$5,IF($E102="Max",Dashboard!$B$6,IF($E102="Parlay",Dashboard!$B$7,"")))))</f>
        <v/>
      </c>
      <c r="G102" s="15" t="n"/>
      <c r="H102" s="15" t="n"/>
      <c r="I102" s="15" t="n"/>
      <c r="J102" s="15" t="n"/>
      <c r="K102" s="17">
        <f>IF($J102="","",IF($J102="Pending","",IF($J102="P",0,IF($J102="L",-$F102,IF($G102="","",IF($G102&gt;0,$F102*$G102/100,$F102*100/ABS($G102)))))))</f>
        <v/>
      </c>
      <c r="L102" s="24">
        <f>IF(OR($H102="",$I102=""),"",IF($C102="Spread",$H102-$I102,IF($C102="Under",$H102-$I102,IF($C102="Over",$I102-$H102,IF($C102="ML",(IF($I102&gt;0,100/($I102+100),ABS($I102)/(ABS($I102)+100))-IF($H102&gt;0,100/($H102+100),ABS($H102)/(ABS($H102)+100)))*100,"")))))</f>
        <v/>
      </c>
    </row>
    <row r="103">
      <c r="A103" s="23" t="n"/>
      <c r="B103" s="15" t="n"/>
      <c r="C103" s="15" t="n"/>
      <c r="D103" s="15" t="n"/>
      <c r="E103" s="15" t="n"/>
      <c r="F103" s="17">
        <f>IF($E103="","",IF($E103="Lean",Dashboard!$B$4,IF($E103="Standard",Dashboard!$B$5,IF($E103="Max",Dashboard!$B$6,IF($E103="Parlay",Dashboard!$B$7,"")))))</f>
        <v/>
      </c>
      <c r="G103" s="15" t="n"/>
      <c r="H103" s="15" t="n"/>
      <c r="I103" s="15" t="n"/>
      <c r="J103" s="15" t="n"/>
      <c r="K103" s="17">
        <f>IF($J103="","",IF($J103="Pending","",IF($J103="P",0,IF($J103="L",-$F103,IF($G103="","",IF($G103&gt;0,$F103*$G103/100,$F103*100/ABS($G103)))))))</f>
        <v/>
      </c>
      <c r="L103" s="24">
        <f>IF(OR($H103="",$I103=""),"",IF($C103="Spread",$H103-$I103,IF($C103="Under",$H103-$I103,IF($C103="Over",$I103-$H103,IF($C103="ML",(IF($I103&gt;0,100/($I103+100),ABS($I103)/(ABS($I103)+100))-IF($H103&gt;0,100/($H103+100),ABS($H103)/(ABS($H103)+100)))*100,"")))))</f>
        <v/>
      </c>
    </row>
    <row r="104">
      <c r="A104" s="23" t="n"/>
      <c r="B104" s="15" t="n"/>
      <c r="C104" s="15" t="n"/>
      <c r="D104" s="15" t="n"/>
      <c r="E104" s="15" t="n"/>
      <c r="F104" s="17">
        <f>IF($E104="","",IF($E104="Lean",Dashboard!$B$4,IF($E104="Standard",Dashboard!$B$5,IF($E104="Max",Dashboard!$B$6,IF($E104="Parlay",Dashboard!$B$7,"")))))</f>
        <v/>
      </c>
      <c r="G104" s="15" t="n"/>
      <c r="H104" s="15" t="n"/>
      <c r="I104" s="15" t="n"/>
      <c r="J104" s="15" t="n"/>
      <c r="K104" s="17">
        <f>IF($J104="","",IF($J104="Pending","",IF($J104="P",0,IF($J104="L",-$F104,IF($G104="","",IF($G104&gt;0,$F104*$G104/100,$F104*100/ABS($G104)))))))</f>
        <v/>
      </c>
      <c r="L104" s="24">
        <f>IF(OR($H104="",$I104=""),"",IF($C104="Spread",$H104-$I104,IF($C104="Under",$H104-$I104,IF($C104="Over",$I104-$H104,IF($C104="ML",(IF($I104&gt;0,100/($I104+100),ABS($I104)/(ABS($I104)+100))-IF($H104&gt;0,100/($H104+100),ABS($H104)/(ABS($H104)+100)))*100,"")))))</f>
        <v/>
      </c>
    </row>
    <row r="105">
      <c r="A105" s="23" t="n"/>
      <c r="B105" s="15" t="n"/>
      <c r="C105" s="15" t="n"/>
      <c r="D105" s="15" t="n"/>
      <c r="E105" s="15" t="n"/>
      <c r="F105" s="17">
        <f>IF($E105="","",IF($E105="Lean",Dashboard!$B$4,IF($E105="Standard",Dashboard!$B$5,IF($E105="Max",Dashboard!$B$6,IF($E105="Parlay",Dashboard!$B$7,"")))))</f>
        <v/>
      </c>
      <c r="G105" s="15" t="n"/>
      <c r="H105" s="15" t="n"/>
      <c r="I105" s="15" t="n"/>
      <c r="J105" s="15" t="n"/>
      <c r="K105" s="17">
        <f>IF($J105="","",IF($J105="Pending","",IF($J105="P",0,IF($J105="L",-$F105,IF($G105="","",IF($G105&gt;0,$F105*$G105/100,$F105*100/ABS($G105)))))))</f>
        <v/>
      </c>
      <c r="L105" s="24">
        <f>IF(OR($H105="",$I105=""),"",IF($C105="Spread",$H105-$I105,IF($C105="Under",$H105-$I105,IF($C105="Over",$I105-$H105,IF($C105="ML",(IF($I105&gt;0,100/($I105+100),ABS($I105)/(ABS($I105)+100))-IF($H105&gt;0,100/($H105+100),ABS($H105)/(ABS($H105)+100)))*100,"")))))</f>
        <v/>
      </c>
    </row>
    <row r="106">
      <c r="A106" s="23" t="n"/>
      <c r="B106" s="15" t="n"/>
      <c r="C106" s="15" t="n"/>
      <c r="D106" s="15" t="n"/>
      <c r="E106" s="15" t="n"/>
      <c r="F106" s="17">
        <f>IF($E106="","",IF($E106="Lean",Dashboard!$B$4,IF($E106="Standard",Dashboard!$B$5,IF($E106="Max",Dashboard!$B$6,IF($E106="Parlay",Dashboard!$B$7,"")))))</f>
        <v/>
      </c>
      <c r="G106" s="15" t="n"/>
      <c r="H106" s="15" t="n"/>
      <c r="I106" s="15" t="n"/>
      <c r="J106" s="15" t="n"/>
      <c r="K106" s="17">
        <f>IF($J106="","",IF($J106="Pending","",IF($J106="P",0,IF($J106="L",-$F106,IF($G106="","",IF($G106&gt;0,$F106*$G106/100,$F106*100/ABS($G106)))))))</f>
        <v/>
      </c>
      <c r="L106" s="24">
        <f>IF(OR($H106="",$I106=""),"",IF($C106="Spread",$H106-$I106,IF($C106="Under",$H106-$I106,IF($C106="Over",$I106-$H106,IF($C106="ML",(IF($I106&gt;0,100/($I106+100),ABS($I106)/(ABS($I106)+100))-IF($H106&gt;0,100/($H106+100),ABS($H106)/(ABS($H106)+100)))*100,"")))))</f>
        <v/>
      </c>
    </row>
    <row r="107">
      <c r="A107" s="23" t="n"/>
      <c r="B107" s="15" t="n"/>
      <c r="C107" s="15" t="n"/>
      <c r="D107" s="15" t="n"/>
      <c r="E107" s="15" t="n"/>
      <c r="F107" s="17">
        <f>IF($E107="","",IF($E107="Lean",Dashboard!$B$4,IF($E107="Standard",Dashboard!$B$5,IF($E107="Max",Dashboard!$B$6,IF($E107="Parlay",Dashboard!$B$7,"")))))</f>
        <v/>
      </c>
      <c r="G107" s="15" t="n"/>
      <c r="H107" s="15" t="n"/>
      <c r="I107" s="15" t="n"/>
      <c r="J107" s="15" t="n"/>
      <c r="K107" s="17">
        <f>IF($J107="","",IF($J107="Pending","",IF($J107="P",0,IF($J107="L",-$F107,IF($G107="","",IF($G107&gt;0,$F107*$G107/100,$F107*100/ABS($G107)))))))</f>
        <v/>
      </c>
      <c r="L107" s="24">
        <f>IF(OR($H107="",$I107=""),"",IF($C107="Spread",$H107-$I107,IF($C107="Under",$H107-$I107,IF($C107="Over",$I107-$H107,IF($C107="ML",(IF($I107&gt;0,100/($I107+100),ABS($I107)/(ABS($I107)+100))-IF($H107&gt;0,100/($H107+100),ABS($H107)/(ABS($H107)+100)))*100,"")))))</f>
        <v/>
      </c>
    </row>
    <row r="108">
      <c r="A108" s="23" t="n"/>
      <c r="B108" s="15" t="n"/>
      <c r="C108" s="15" t="n"/>
      <c r="D108" s="15" t="n"/>
      <c r="E108" s="15" t="n"/>
      <c r="F108" s="17">
        <f>IF($E108="","",IF($E108="Lean",Dashboard!$B$4,IF($E108="Standard",Dashboard!$B$5,IF($E108="Max",Dashboard!$B$6,IF($E108="Parlay",Dashboard!$B$7,"")))))</f>
        <v/>
      </c>
      <c r="G108" s="15" t="n"/>
      <c r="H108" s="15" t="n"/>
      <c r="I108" s="15" t="n"/>
      <c r="J108" s="15" t="n"/>
      <c r="K108" s="17">
        <f>IF($J108="","",IF($J108="Pending","",IF($J108="P",0,IF($J108="L",-$F108,IF($G108="","",IF($G108&gt;0,$F108*$G108/100,$F108*100/ABS($G108)))))))</f>
        <v/>
      </c>
      <c r="L108" s="24">
        <f>IF(OR($H108="",$I108=""),"",IF($C108="Spread",$H108-$I108,IF($C108="Under",$H108-$I108,IF($C108="Over",$I108-$H108,IF($C108="ML",(IF($I108&gt;0,100/($I108+100),ABS($I108)/(ABS($I108)+100))-IF($H108&gt;0,100/($H108+100),ABS($H108)/(ABS($H108)+100)))*100,"")))))</f>
        <v/>
      </c>
    </row>
    <row r="109">
      <c r="A109" s="23" t="n"/>
      <c r="B109" s="15" t="n"/>
      <c r="C109" s="15" t="n"/>
      <c r="D109" s="15" t="n"/>
      <c r="E109" s="15" t="n"/>
      <c r="F109" s="17">
        <f>IF($E109="","",IF($E109="Lean",Dashboard!$B$4,IF($E109="Standard",Dashboard!$B$5,IF($E109="Max",Dashboard!$B$6,IF($E109="Parlay",Dashboard!$B$7,"")))))</f>
        <v/>
      </c>
      <c r="G109" s="15" t="n"/>
      <c r="H109" s="15" t="n"/>
      <c r="I109" s="15" t="n"/>
      <c r="J109" s="15" t="n"/>
      <c r="K109" s="17">
        <f>IF($J109="","",IF($J109="Pending","",IF($J109="P",0,IF($J109="L",-$F109,IF($G109="","",IF($G109&gt;0,$F109*$G109/100,$F109*100/ABS($G109)))))))</f>
        <v/>
      </c>
      <c r="L109" s="24">
        <f>IF(OR($H109="",$I109=""),"",IF($C109="Spread",$H109-$I109,IF($C109="Under",$H109-$I109,IF($C109="Over",$I109-$H109,IF($C109="ML",(IF($I109&gt;0,100/($I109+100),ABS($I109)/(ABS($I109)+100))-IF($H109&gt;0,100/($H109+100),ABS($H109)/(ABS($H109)+100)))*100,"")))))</f>
        <v/>
      </c>
    </row>
    <row r="110">
      <c r="A110" s="23" t="n"/>
      <c r="B110" s="15" t="n"/>
      <c r="C110" s="15" t="n"/>
      <c r="D110" s="15" t="n"/>
      <c r="E110" s="15" t="n"/>
      <c r="F110" s="17">
        <f>IF($E110="","",IF($E110="Lean",Dashboard!$B$4,IF($E110="Standard",Dashboard!$B$5,IF($E110="Max",Dashboard!$B$6,IF($E110="Parlay",Dashboard!$B$7,"")))))</f>
        <v/>
      </c>
      <c r="G110" s="15" t="n"/>
      <c r="H110" s="15" t="n"/>
      <c r="I110" s="15" t="n"/>
      <c r="J110" s="15" t="n"/>
      <c r="K110" s="17">
        <f>IF($J110="","",IF($J110="Pending","",IF($J110="P",0,IF($J110="L",-$F110,IF($G110="","",IF($G110&gt;0,$F110*$G110/100,$F110*100/ABS($G110)))))))</f>
        <v/>
      </c>
      <c r="L110" s="24">
        <f>IF(OR($H110="",$I110=""),"",IF($C110="Spread",$H110-$I110,IF($C110="Under",$H110-$I110,IF($C110="Over",$I110-$H110,IF($C110="ML",(IF($I110&gt;0,100/($I110+100),ABS($I110)/(ABS($I110)+100))-IF($H110&gt;0,100/($H110+100),ABS($H110)/(ABS($H110)+100)))*100,"")))))</f>
        <v/>
      </c>
    </row>
    <row r="111">
      <c r="A111" s="23" t="n"/>
      <c r="B111" s="15" t="n"/>
      <c r="C111" s="15" t="n"/>
      <c r="D111" s="15" t="n"/>
      <c r="E111" s="15" t="n"/>
      <c r="F111" s="17">
        <f>IF($E111="","",IF($E111="Lean",Dashboard!$B$4,IF($E111="Standard",Dashboard!$B$5,IF($E111="Max",Dashboard!$B$6,IF($E111="Parlay",Dashboard!$B$7,"")))))</f>
        <v/>
      </c>
      <c r="G111" s="15" t="n"/>
      <c r="H111" s="15" t="n"/>
      <c r="I111" s="15" t="n"/>
      <c r="J111" s="15" t="n"/>
      <c r="K111" s="17">
        <f>IF($J111="","",IF($J111="Pending","",IF($J111="P",0,IF($J111="L",-$F111,IF($G111="","",IF($G111&gt;0,$F111*$G111/100,$F111*100/ABS($G111)))))))</f>
        <v/>
      </c>
      <c r="L111" s="24">
        <f>IF(OR($H111="",$I111=""),"",IF($C111="Spread",$H111-$I111,IF($C111="Under",$H111-$I111,IF($C111="Over",$I111-$H111,IF($C111="ML",(IF($I111&gt;0,100/($I111+100),ABS($I111)/(ABS($I111)+100))-IF($H111&gt;0,100/($H111+100),ABS($H111)/(ABS($H111)+100)))*100,"")))))</f>
        <v/>
      </c>
    </row>
    <row r="112">
      <c r="A112" s="23" t="n"/>
      <c r="B112" s="15" t="n"/>
      <c r="C112" s="15" t="n"/>
      <c r="D112" s="15" t="n"/>
      <c r="E112" s="15" t="n"/>
      <c r="F112" s="17">
        <f>IF($E112="","",IF($E112="Lean",Dashboard!$B$4,IF($E112="Standard",Dashboard!$B$5,IF($E112="Max",Dashboard!$B$6,IF($E112="Parlay",Dashboard!$B$7,"")))))</f>
        <v/>
      </c>
      <c r="G112" s="15" t="n"/>
      <c r="H112" s="15" t="n"/>
      <c r="I112" s="15" t="n"/>
      <c r="J112" s="15" t="n"/>
      <c r="K112" s="17">
        <f>IF($J112="","",IF($J112="Pending","",IF($J112="P",0,IF($J112="L",-$F112,IF($G112="","",IF($G112&gt;0,$F112*$G112/100,$F112*100/ABS($G112)))))))</f>
        <v/>
      </c>
      <c r="L112" s="24">
        <f>IF(OR($H112="",$I112=""),"",IF($C112="Spread",$H112-$I112,IF($C112="Under",$H112-$I112,IF($C112="Over",$I112-$H112,IF($C112="ML",(IF($I112&gt;0,100/($I112+100),ABS($I112)/(ABS($I112)+100))-IF($H112&gt;0,100/($H112+100),ABS($H112)/(ABS($H112)+100)))*100,"")))))</f>
        <v/>
      </c>
    </row>
    <row r="113">
      <c r="A113" s="23" t="n"/>
      <c r="B113" s="15" t="n"/>
      <c r="C113" s="15" t="n"/>
      <c r="D113" s="15" t="n"/>
      <c r="E113" s="15" t="n"/>
      <c r="F113" s="17">
        <f>IF($E113="","",IF($E113="Lean",Dashboard!$B$4,IF($E113="Standard",Dashboard!$B$5,IF($E113="Max",Dashboard!$B$6,IF($E113="Parlay",Dashboard!$B$7,"")))))</f>
        <v/>
      </c>
      <c r="G113" s="15" t="n"/>
      <c r="H113" s="15" t="n"/>
      <c r="I113" s="15" t="n"/>
      <c r="J113" s="15" t="n"/>
      <c r="K113" s="17">
        <f>IF($J113="","",IF($J113="Pending","",IF($J113="P",0,IF($J113="L",-$F113,IF($G113="","",IF($G113&gt;0,$F113*$G113/100,$F113*100/ABS($G113)))))))</f>
        <v/>
      </c>
      <c r="L113" s="24">
        <f>IF(OR($H113="",$I113=""),"",IF($C113="Spread",$H113-$I113,IF($C113="Under",$H113-$I113,IF($C113="Over",$I113-$H113,IF($C113="ML",(IF($I113&gt;0,100/($I113+100),ABS($I113)/(ABS($I113)+100))-IF($H113&gt;0,100/($H113+100),ABS($H113)/(ABS($H113)+100)))*100,"")))))</f>
        <v/>
      </c>
    </row>
    <row r="114">
      <c r="A114" s="23" t="n"/>
      <c r="B114" s="15" t="n"/>
      <c r="C114" s="15" t="n"/>
      <c r="D114" s="15" t="n"/>
      <c r="E114" s="15" t="n"/>
      <c r="F114" s="17">
        <f>IF($E114="","",IF($E114="Lean",Dashboard!$B$4,IF($E114="Standard",Dashboard!$B$5,IF($E114="Max",Dashboard!$B$6,IF($E114="Parlay",Dashboard!$B$7,"")))))</f>
        <v/>
      </c>
      <c r="G114" s="15" t="n"/>
      <c r="H114" s="15" t="n"/>
      <c r="I114" s="15" t="n"/>
      <c r="J114" s="15" t="n"/>
      <c r="K114" s="17">
        <f>IF($J114="","",IF($J114="Pending","",IF($J114="P",0,IF($J114="L",-$F114,IF($G114="","",IF($G114&gt;0,$F114*$G114/100,$F114*100/ABS($G114)))))))</f>
        <v/>
      </c>
      <c r="L114" s="24">
        <f>IF(OR($H114="",$I114=""),"",IF($C114="Spread",$H114-$I114,IF($C114="Under",$H114-$I114,IF($C114="Over",$I114-$H114,IF($C114="ML",(IF($I114&gt;0,100/($I114+100),ABS($I114)/(ABS($I114)+100))-IF($H114&gt;0,100/($H114+100),ABS($H114)/(ABS($H114)+100)))*100,"")))))</f>
        <v/>
      </c>
    </row>
    <row r="115">
      <c r="A115" s="23" t="n"/>
      <c r="B115" s="15" t="n"/>
      <c r="C115" s="15" t="n"/>
      <c r="D115" s="15" t="n"/>
      <c r="E115" s="15" t="n"/>
      <c r="F115" s="17">
        <f>IF($E115="","",IF($E115="Lean",Dashboard!$B$4,IF($E115="Standard",Dashboard!$B$5,IF($E115="Max",Dashboard!$B$6,IF($E115="Parlay",Dashboard!$B$7,"")))))</f>
        <v/>
      </c>
      <c r="G115" s="15" t="n"/>
      <c r="H115" s="15" t="n"/>
      <c r="I115" s="15" t="n"/>
      <c r="J115" s="15" t="n"/>
      <c r="K115" s="17">
        <f>IF($J115="","",IF($J115="Pending","",IF($J115="P",0,IF($J115="L",-$F115,IF($G115="","",IF($G115&gt;0,$F115*$G115/100,$F115*100/ABS($G115)))))))</f>
        <v/>
      </c>
      <c r="L115" s="24">
        <f>IF(OR($H115="",$I115=""),"",IF($C115="Spread",$H115-$I115,IF($C115="Under",$H115-$I115,IF($C115="Over",$I115-$H115,IF($C115="ML",(IF($I115&gt;0,100/($I115+100),ABS($I115)/(ABS($I115)+100))-IF($H115&gt;0,100/($H115+100),ABS($H115)/(ABS($H115)+100)))*100,"")))))</f>
        <v/>
      </c>
    </row>
    <row r="116">
      <c r="A116" s="23" t="n"/>
      <c r="B116" s="15" t="n"/>
      <c r="C116" s="15" t="n"/>
      <c r="D116" s="15" t="n"/>
      <c r="E116" s="15" t="n"/>
      <c r="F116" s="17">
        <f>IF($E116="","",IF($E116="Lean",Dashboard!$B$4,IF($E116="Standard",Dashboard!$B$5,IF($E116="Max",Dashboard!$B$6,IF($E116="Parlay",Dashboard!$B$7,"")))))</f>
        <v/>
      </c>
      <c r="G116" s="15" t="n"/>
      <c r="H116" s="15" t="n"/>
      <c r="I116" s="15" t="n"/>
      <c r="J116" s="15" t="n"/>
      <c r="K116" s="17">
        <f>IF($J116="","",IF($J116="Pending","",IF($J116="P",0,IF($J116="L",-$F116,IF($G116="","",IF($G116&gt;0,$F116*$G116/100,$F116*100/ABS($G116)))))))</f>
        <v/>
      </c>
      <c r="L116" s="24">
        <f>IF(OR($H116="",$I116=""),"",IF($C116="Spread",$H116-$I116,IF($C116="Under",$H116-$I116,IF($C116="Over",$I116-$H116,IF($C116="ML",(IF($I116&gt;0,100/($I116+100),ABS($I116)/(ABS($I116)+100))-IF($H116&gt;0,100/($H116+100),ABS($H116)/(ABS($H116)+100)))*100,"")))))</f>
        <v/>
      </c>
    </row>
    <row r="117">
      <c r="A117" s="23" t="n"/>
      <c r="B117" s="15" t="n"/>
      <c r="C117" s="15" t="n"/>
      <c r="D117" s="15" t="n"/>
      <c r="E117" s="15" t="n"/>
      <c r="F117" s="17">
        <f>IF($E117="","",IF($E117="Lean",Dashboard!$B$4,IF($E117="Standard",Dashboard!$B$5,IF($E117="Max",Dashboard!$B$6,IF($E117="Parlay",Dashboard!$B$7,"")))))</f>
        <v/>
      </c>
      <c r="G117" s="15" t="n"/>
      <c r="H117" s="15" t="n"/>
      <c r="I117" s="15" t="n"/>
      <c r="J117" s="15" t="n"/>
      <c r="K117" s="17">
        <f>IF($J117="","",IF($J117="Pending","",IF($J117="P",0,IF($J117="L",-$F117,IF($G117="","",IF($G117&gt;0,$F117*$G117/100,$F117*100/ABS($G117)))))))</f>
        <v/>
      </c>
      <c r="L117" s="24">
        <f>IF(OR($H117="",$I117=""),"",IF($C117="Spread",$H117-$I117,IF($C117="Under",$H117-$I117,IF($C117="Over",$I117-$H117,IF($C117="ML",(IF($I117&gt;0,100/($I117+100),ABS($I117)/(ABS($I117)+100))-IF($H117&gt;0,100/($H117+100),ABS($H117)/(ABS($H117)+100)))*100,"")))))</f>
        <v/>
      </c>
    </row>
    <row r="118">
      <c r="A118" s="23" t="n"/>
      <c r="B118" s="15" t="n"/>
      <c r="C118" s="15" t="n"/>
      <c r="D118" s="15" t="n"/>
      <c r="E118" s="15" t="n"/>
      <c r="F118" s="17">
        <f>IF($E118="","",IF($E118="Lean",Dashboard!$B$4,IF($E118="Standard",Dashboard!$B$5,IF($E118="Max",Dashboard!$B$6,IF($E118="Parlay",Dashboard!$B$7,"")))))</f>
        <v/>
      </c>
      <c r="G118" s="15" t="n"/>
      <c r="H118" s="15" t="n"/>
      <c r="I118" s="15" t="n"/>
      <c r="J118" s="15" t="n"/>
      <c r="K118" s="17">
        <f>IF($J118="","",IF($J118="Pending","",IF($J118="P",0,IF($J118="L",-$F118,IF($G118="","",IF($G118&gt;0,$F118*$G118/100,$F118*100/ABS($G118)))))))</f>
        <v/>
      </c>
      <c r="L118" s="24">
        <f>IF(OR($H118="",$I118=""),"",IF($C118="Spread",$H118-$I118,IF($C118="Under",$H118-$I118,IF($C118="Over",$I118-$H118,IF($C118="ML",(IF($I118&gt;0,100/($I118+100),ABS($I118)/(ABS($I118)+100))-IF($H118&gt;0,100/($H118+100),ABS($H118)/(ABS($H118)+100)))*100,"")))))</f>
        <v/>
      </c>
    </row>
    <row r="119">
      <c r="A119" s="23" t="n"/>
      <c r="B119" s="15" t="n"/>
      <c r="C119" s="15" t="n"/>
      <c r="D119" s="15" t="n"/>
      <c r="E119" s="15" t="n"/>
      <c r="F119" s="17">
        <f>IF($E119="","",IF($E119="Lean",Dashboard!$B$4,IF($E119="Standard",Dashboard!$B$5,IF($E119="Max",Dashboard!$B$6,IF($E119="Parlay",Dashboard!$B$7,"")))))</f>
        <v/>
      </c>
      <c r="G119" s="15" t="n"/>
      <c r="H119" s="15" t="n"/>
      <c r="I119" s="15" t="n"/>
      <c r="J119" s="15" t="n"/>
      <c r="K119" s="17">
        <f>IF($J119="","",IF($J119="Pending","",IF($J119="P",0,IF($J119="L",-$F119,IF($G119="","",IF($G119&gt;0,$F119*$G119/100,$F119*100/ABS($G119)))))))</f>
        <v/>
      </c>
      <c r="L119" s="24">
        <f>IF(OR($H119="",$I119=""),"",IF($C119="Spread",$H119-$I119,IF($C119="Under",$H119-$I119,IF($C119="Over",$I119-$H119,IF($C119="ML",(IF($I119&gt;0,100/($I119+100),ABS($I119)/(ABS($I119)+100))-IF($H119&gt;0,100/($H119+100),ABS($H119)/(ABS($H119)+100)))*100,"")))))</f>
        <v/>
      </c>
    </row>
    <row r="120">
      <c r="A120" s="23" t="n"/>
      <c r="B120" s="15" t="n"/>
      <c r="C120" s="15" t="n"/>
      <c r="D120" s="15" t="n"/>
      <c r="E120" s="15" t="n"/>
      <c r="F120" s="17">
        <f>IF($E120="","",IF($E120="Lean",Dashboard!$B$4,IF($E120="Standard",Dashboard!$B$5,IF($E120="Max",Dashboard!$B$6,IF($E120="Parlay",Dashboard!$B$7,"")))))</f>
        <v/>
      </c>
      <c r="G120" s="15" t="n"/>
      <c r="H120" s="15" t="n"/>
      <c r="I120" s="15" t="n"/>
      <c r="J120" s="15" t="n"/>
      <c r="K120" s="17">
        <f>IF($J120="","",IF($J120="Pending","",IF($J120="P",0,IF($J120="L",-$F120,IF($G120="","",IF($G120&gt;0,$F120*$G120/100,$F120*100/ABS($G120)))))))</f>
        <v/>
      </c>
      <c r="L120" s="24">
        <f>IF(OR($H120="",$I120=""),"",IF($C120="Spread",$H120-$I120,IF($C120="Under",$H120-$I120,IF($C120="Over",$I120-$H120,IF($C120="ML",(IF($I120&gt;0,100/($I120+100),ABS($I120)/(ABS($I120)+100))-IF($H120&gt;0,100/($H120+100),ABS($H120)/(ABS($H120)+100)))*100,"")))))</f>
        <v/>
      </c>
    </row>
    <row r="121">
      <c r="A121" s="23" t="n"/>
      <c r="B121" s="15" t="n"/>
      <c r="C121" s="15" t="n"/>
      <c r="D121" s="15" t="n"/>
      <c r="E121" s="15" t="n"/>
      <c r="F121" s="17">
        <f>IF($E121="","",IF($E121="Lean",Dashboard!$B$4,IF($E121="Standard",Dashboard!$B$5,IF($E121="Max",Dashboard!$B$6,IF($E121="Parlay",Dashboard!$B$7,"")))))</f>
        <v/>
      </c>
      <c r="G121" s="15" t="n"/>
      <c r="H121" s="15" t="n"/>
      <c r="I121" s="15" t="n"/>
      <c r="J121" s="15" t="n"/>
      <c r="K121" s="17">
        <f>IF($J121="","",IF($J121="Pending","",IF($J121="P",0,IF($J121="L",-$F121,IF($G121="","",IF($G121&gt;0,$F121*$G121/100,$F121*100/ABS($G121)))))))</f>
        <v/>
      </c>
      <c r="L121" s="24">
        <f>IF(OR($H121="",$I121=""),"",IF($C121="Spread",$H121-$I121,IF($C121="Under",$H121-$I121,IF($C121="Over",$I121-$H121,IF($C121="ML",(IF($I121&gt;0,100/($I121+100),ABS($I121)/(ABS($I121)+100))-IF($H121&gt;0,100/($H121+100),ABS($H121)/(ABS($H121)+100)))*100,"")))))</f>
        <v/>
      </c>
    </row>
    <row r="122">
      <c r="A122" s="23" t="n"/>
      <c r="B122" s="15" t="n"/>
      <c r="C122" s="15" t="n"/>
      <c r="D122" s="15" t="n"/>
      <c r="E122" s="15" t="n"/>
      <c r="F122" s="17">
        <f>IF($E122="","",IF($E122="Lean",Dashboard!$B$4,IF($E122="Standard",Dashboard!$B$5,IF($E122="Max",Dashboard!$B$6,IF($E122="Parlay",Dashboard!$B$7,"")))))</f>
        <v/>
      </c>
      <c r="G122" s="15" t="n"/>
      <c r="H122" s="15" t="n"/>
      <c r="I122" s="15" t="n"/>
      <c r="J122" s="15" t="n"/>
      <c r="K122" s="17">
        <f>IF($J122="","",IF($J122="Pending","",IF($J122="P",0,IF($J122="L",-$F122,IF($G122="","",IF($G122&gt;0,$F122*$G122/100,$F122*100/ABS($G122)))))))</f>
        <v/>
      </c>
      <c r="L122" s="24">
        <f>IF(OR($H122="",$I122=""),"",IF($C122="Spread",$H122-$I122,IF($C122="Under",$H122-$I122,IF($C122="Over",$I122-$H122,IF($C122="ML",(IF($I122&gt;0,100/($I122+100),ABS($I122)/(ABS($I122)+100))-IF($H122&gt;0,100/($H122+100),ABS($H122)/(ABS($H122)+100)))*100,"")))))</f>
        <v/>
      </c>
    </row>
    <row r="123">
      <c r="A123" s="23" t="n"/>
      <c r="B123" s="15" t="n"/>
      <c r="C123" s="15" t="n"/>
      <c r="D123" s="15" t="n"/>
      <c r="E123" s="15" t="n"/>
      <c r="F123" s="17">
        <f>IF($E123="","",IF($E123="Lean",Dashboard!$B$4,IF($E123="Standard",Dashboard!$B$5,IF($E123="Max",Dashboard!$B$6,IF($E123="Parlay",Dashboard!$B$7,"")))))</f>
        <v/>
      </c>
      <c r="G123" s="15" t="n"/>
      <c r="H123" s="15" t="n"/>
      <c r="I123" s="15" t="n"/>
      <c r="J123" s="15" t="n"/>
      <c r="K123" s="17">
        <f>IF($J123="","",IF($J123="Pending","",IF($J123="P",0,IF($J123="L",-$F123,IF($G123="","",IF($G123&gt;0,$F123*$G123/100,$F123*100/ABS($G123)))))))</f>
        <v/>
      </c>
      <c r="L123" s="24">
        <f>IF(OR($H123="",$I123=""),"",IF($C123="Spread",$H123-$I123,IF($C123="Under",$H123-$I123,IF($C123="Over",$I123-$H123,IF($C123="ML",(IF($I123&gt;0,100/($I123+100),ABS($I123)/(ABS($I123)+100))-IF($H123&gt;0,100/($H123+100),ABS($H123)/(ABS($H123)+100)))*100,"")))))</f>
        <v/>
      </c>
    </row>
    <row r="124">
      <c r="A124" s="23" t="n"/>
      <c r="B124" s="15" t="n"/>
      <c r="C124" s="15" t="n"/>
      <c r="D124" s="15" t="n"/>
      <c r="E124" s="15" t="n"/>
      <c r="F124" s="17">
        <f>IF($E124="","",IF($E124="Lean",Dashboard!$B$4,IF($E124="Standard",Dashboard!$B$5,IF($E124="Max",Dashboard!$B$6,IF($E124="Parlay",Dashboard!$B$7,"")))))</f>
        <v/>
      </c>
      <c r="G124" s="15" t="n"/>
      <c r="H124" s="15" t="n"/>
      <c r="I124" s="15" t="n"/>
      <c r="J124" s="15" t="n"/>
      <c r="K124" s="17">
        <f>IF($J124="","",IF($J124="Pending","",IF($J124="P",0,IF($J124="L",-$F124,IF($G124="","",IF($G124&gt;0,$F124*$G124/100,$F124*100/ABS($G124)))))))</f>
        <v/>
      </c>
      <c r="L124" s="24">
        <f>IF(OR($H124="",$I124=""),"",IF($C124="Spread",$H124-$I124,IF($C124="Under",$H124-$I124,IF($C124="Over",$I124-$H124,IF($C124="ML",(IF($I124&gt;0,100/($I124+100),ABS($I124)/(ABS($I124)+100))-IF($H124&gt;0,100/($H124+100),ABS($H124)/(ABS($H124)+100)))*100,"")))))</f>
        <v/>
      </c>
    </row>
    <row r="125">
      <c r="A125" s="23" t="n"/>
      <c r="B125" s="15" t="n"/>
      <c r="C125" s="15" t="n"/>
      <c r="D125" s="15" t="n"/>
      <c r="E125" s="15" t="n"/>
      <c r="F125" s="17">
        <f>IF($E125="","",IF($E125="Lean",Dashboard!$B$4,IF($E125="Standard",Dashboard!$B$5,IF($E125="Max",Dashboard!$B$6,IF($E125="Parlay",Dashboard!$B$7,"")))))</f>
        <v/>
      </c>
      <c r="G125" s="15" t="n"/>
      <c r="H125" s="15" t="n"/>
      <c r="I125" s="15" t="n"/>
      <c r="J125" s="15" t="n"/>
      <c r="K125" s="17">
        <f>IF($J125="","",IF($J125="Pending","",IF($J125="P",0,IF($J125="L",-$F125,IF($G125="","",IF($G125&gt;0,$F125*$G125/100,$F125*100/ABS($G125)))))))</f>
        <v/>
      </c>
      <c r="L125" s="24">
        <f>IF(OR($H125="",$I125=""),"",IF($C125="Spread",$H125-$I125,IF($C125="Under",$H125-$I125,IF($C125="Over",$I125-$H125,IF($C125="ML",(IF($I125&gt;0,100/($I125+100),ABS($I125)/(ABS($I125)+100))-IF($H125&gt;0,100/($H125+100),ABS($H125)/(ABS($H125)+100)))*100,"")))))</f>
        <v/>
      </c>
    </row>
    <row r="126">
      <c r="A126" s="23" t="n"/>
      <c r="B126" s="15" t="n"/>
      <c r="C126" s="15" t="n"/>
      <c r="D126" s="15" t="n"/>
      <c r="E126" s="15" t="n"/>
      <c r="F126" s="17">
        <f>IF($E126="","",IF($E126="Lean",Dashboard!$B$4,IF($E126="Standard",Dashboard!$B$5,IF($E126="Max",Dashboard!$B$6,IF($E126="Parlay",Dashboard!$B$7,"")))))</f>
        <v/>
      </c>
      <c r="G126" s="15" t="n"/>
      <c r="H126" s="15" t="n"/>
      <c r="I126" s="15" t="n"/>
      <c r="J126" s="15" t="n"/>
      <c r="K126" s="17">
        <f>IF($J126="","",IF($J126="Pending","",IF($J126="P",0,IF($J126="L",-$F126,IF($G126="","",IF($G126&gt;0,$F126*$G126/100,$F126*100/ABS($G126)))))))</f>
        <v/>
      </c>
      <c r="L126" s="24">
        <f>IF(OR($H126="",$I126=""),"",IF($C126="Spread",$H126-$I126,IF($C126="Under",$H126-$I126,IF($C126="Over",$I126-$H126,IF($C126="ML",(IF($I126&gt;0,100/($I126+100),ABS($I126)/(ABS($I126)+100))-IF($H126&gt;0,100/($H126+100),ABS($H126)/(ABS($H126)+100)))*100,"")))))</f>
        <v/>
      </c>
    </row>
    <row r="127">
      <c r="A127" s="23" t="n"/>
      <c r="B127" s="15" t="n"/>
      <c r="C127" s="15" t="n"/>
      <c r="D127" s="15" t="n"/>
      <c r="E127" s="15" t="n"/>
      <c r="F127" s="17">
        <f>IF($E127="","",IF($E127="Lean",Dashboard!$B$4,IF($E127="Standard",Dashboard!$B$5,IF($E127="Max",Dashboard!$B$6,IF($E127="Parlay",Dashboard!$B$7,"")))))</f>
        <v/>
      </c>
      <c r="G127" s="15" t="n"/>
      <c r="H127" s="15" t="n"/>
      <c r="I127" s="15" t="n"/>
      <c r="J127" s="15" t="n"/>
      <c r="K127" s="17">
        <f>IF($J127="","",IF($J127="Pending","",IF($J127="P",0,IF($J127="L",-$F127,IF($G127="","",IF($G127&gt;0,$F127*$G127/100,$F127*100/ABS($G127)))))))</f>
        <v/>
      </c>
      <c r="L127" s="24">
        <f>IF(OR($H127="",$I127=""),"",IF($C127="Spread",$H127-$I127,IF($C127="Under",$H127-$I127,IF($C127="Over",$I127-$H127,IF($C127="ML",(IF($I127&gt;0,100/($I127+100),ABS($I127)/(ABS($I127)+100))-IF($H127&gt;0,100/($H127+100),ABS($H127)/(ABS($H127)+100)))*100,"")))))</f>
        <v/>
      </c>
    </row>
    <row r="128">
      <c r="A128" s="23" t="n"/>
      <c r="B128" s="15" t="n"/>
      <c r="C128" s="15" t="n"/>
      <c r="D128" s="15" t="n"/>
      <c r="E128" s="15" t="n"/>
      <c r="F128" s="17">
        <f>IF($E128="","",IF($E128="Lean",Dashboard!$B$4,IF($E128="Standard",Dashboard!$B$5,IF($E128="Max",Dashboard!$B$6,IF($E128="Parlay",Dashboard!$B$7,"")))))</f>
        <v/>
      </c>
      <c r="G128" s="15" t="n"/>
      <c r="H128" s="15" t="n"/>
      <c r="I128" s="15" t="n"/>
      <c r="J128" s="15" t="n"/>
      <c r="K128" s="17">
        <f>IF($J128="","",IF($J128="Pending","",IF($J128="P",0,IF($J128="L",-$F128,IF($G128="","",IF($G128&gt;0,$F128*$G128/100,$F128*100/ABS($G128)))))))</f>
        <v/>
      </c>
      <c r="L128" s="24">
        <f>IF(OR($H128="",$I128=""),"",IF($C128="Spread",$H128-$I128,IF($C128="Under",$H128-$I128,IF($C128="Over",$I128-$H128,IF($C128="ML",(IF($I128&gt;0,100/($I128+100),ABS($I128)/(ABS($I128)+100))-IF($H128&gt;0,100/($H128+100),ABS($H128)/(ABS($H128)+100)))*100,"")))))</f>
        <v/>
      </c>
    </row>
    <row r="129">
      <c r="A129" s="23" t="n"/>
      <c r="B129" s="15" t="n"/>
      <c r="C129" s="15" t="n"/>
      <c r="D129" s="15" t="n"/>
      <c r="E129" s="15" t="n"/>
      <c r="F129" s="17">
        <f>IF($E129="","",IF($E129="Lean",Dashboard!$B$4,IF($E129="Standard",Dashboard!$B$5,IF($E129="Max",Dashboard!$B$6,IF($E129="Parlay",Dashboard!$B$7,"")))))</f>
        <v/>
      </c>
      <c r="G129" s="15" t="n"/>
      <c r="H129" s="15" t="n"/>
      <c r="I129" s="15" t="n"/>
      <c r="J129" s="15" t="n"/>
      <c r="K129" s="17">
        <f>IF($J129="","",IF($J129="Pending","",IF($J129="P",0,IF($J129="L",-$F129,IF($G129="","",IF($G129&gt;0,$F129*$G129/100,$F129*100/ABS($G129)))))))</f>
        <v/>
      </c>
      <c r="L129" s="24">
        <f>IF(OR($H129="",$I129=""),"",IF($C129="Spread",$H129-$I129,IF($C129="Under",$H129-$I129,IF($C129="Over",$I129-$H129,IF($C129="ML",(IF($I129&gt;0,100/($I129+100),ABS($I129)/(ABS($I129)+100))-IF($H129&gt;0,100/($H129+100),ABS($H129)/(ABS($H129)+100)))*100,"")))))</f>
        <v/>
      </c>
    </row>
    <row r="130">
      <c r="A130" s="23" t="n"/>
      <c r="B130" s="15" t="n"/>
      <c r="C130" s="15" t="n"/>
      <c r="D130" s="15" t="n"/>
      <c r="E130" s="15" t="n"/>
      <c r="F130" s="17">
        <f>IF($E130="","",IF($E130="Lean",Dashboard!$B$4,IF($E130="Standard",Dashboard!$B$5,IF($E130="Max",Dashboard!$B$6,IF($E130="Parlay",Dashboard!$B$7,"")))))</f>
        <v/>
      </c>
      <c r="G130" s="15" t="n"/>
      <c r="H130" s="15" t="n"/>
      <c r="I130" s="15" t="n"/>
      <c r="J130" s="15" t="n"/>
      <c r="K130" s="17">
        <f>IF($J130="","",IF($J130="Pending","",IF($J130="P",0,IF($J130="L",-$F130,IF($G130="","",IF($G130&gt;0,$F130*$G130/100,$F130*100/ABS($G130)))))))</f>
        <v/>
      </c>
      <c r="L130" s="24">
        <f>IF(OR($H130="",$I130=""),"",IF($C130="Spread",$H130-$I130,IF($C130="Under",$H130-$I130,IF($C130="Over",$I130-$H130,IF($C130="ML",(IF($I130&gt;0,100/($I130+100),ABS($I130)/(ABS($I130)+100))-IF($H130&gt;0,100/($H130+100),ABS($H130)/(ABS($H130)+100)))*100,"")))))</f>
        <v/>
      </c>
    </row>
    <row r="131">
      <c r="A131" s="23" t="n"/>
      <c r="B131" s="15" t="n"/>
      <c r="C131" s="15" t="n"/>
      <c r="D131" s="15" t="n"/>
      <c r="E131" s="15" t="n"/>
      <c r="F131" s="17">
        <f>IF($E131="","",IF($E131="Lean",Dashboard!$B$4,IF($E131="Standard",Dashboard!$B$5,IF($E131="Max",Dashboard!$B$6,IF($E131="Parlay",Dashboard!$B$7,"")))))</f>
        <v/>
      </c>
      <c r="G131" s="15" t="n"/>
      <c r="H131" s="15" t="n"/>
      <c r="I131" s="15" t="n"/>
      <c r="J131" s="15" t="n"/>
      <c r="K131" s="17">
        <f>IF($J131="","",IF($J131="Pending","",IF($J131="P",0,IF($J131="L",-$F131,IF($G131="","",IF($G131&gt;0,$F131*$G131/100,$F131*100/ABS($G131)))))))</f>
        <v/>
      </c>
      <c r="L131" s="24">
        <f>IF(OR($H131="",$I131=""),"",IF($C131="Spread",$H131-$I131,IF($C131="Under",$H131-$I131,IF($C131="Over",$I131-$H131,IF($C131="ML",(IF($I131&gt;0,100/($I131+100),ABS($I131)/(ABS($I131)+100))-IF($H131&gt;0,100/($H131+100),ABS($H131)/(ABS($H131)+100)))*100,"")))))</f>
        <v/>
      </c>
    </row>
    <row r="132">
      <c r="A132" s="23" t="n"/>
      <c r="B132" s="15" t="n"/>
      <c r="C132" s="15" t="n"/>
      <c r="D132" s="15" t="n"/>
      <c r="E132" s="15" t="n"/>
      <c r="F132" s="17">
        <f>IF($E132="","",IF($E132="Lean",Dashboard!$B$4,IF($E132="Standard",Dashboard!$B$5,IF($E132="Max",Dashboard!$B$6,IF($E132="Parlay",Dashboard!$B$7,"")))))</f>
        <v/>
      </c>
      <c r="G132" s="15" t="n"/>
      <c r="H132" s="15" t="n"/>
      <c r="I132" s="15" t="n"/>
      <c r="J132" s="15" t="n"/>
      <c r="K132" s="17">
        <f>IF($J132="","",IF($J132="Pending","",IF($J132="P",0,IF($J132="L",-$F132,IF($G132="","",IF($G132&gt;0,$F132*$G132/100,$F132*100/ABS($G132)))))))</f>
        <v/>
      </c>
      <c r="L132" s="24">
        <f>IF(OR($H132="",$I132=""),"",IF($C132="Spread",$H132-$I132,IF($C132="Under",$H132-$I132,IF($C132="Over",$I132-$H132,IF($C132="ML",(IF($I132&gt;0,100/($I132+100),ABS($I132)/(ABS($I132)+100))-IF($H132&gt;0,100/($H132+100),ABS($H132)/(ABS($H132)+100)))*100,"")))))</f>
        <v/>
      </c>
    </row>
    <row r="133">
      <c r="A133" s="23" t="n"/>
      <c r="B133" s="15" t="n"/>
      <c r="C133" s="15" t="n"/>
      <c r="D133" s="15" t="n"/>
      <c r="E133" s="15" t="n"/>
      <c r="F133" s="17">
        <f>IF($E133="","",IF($E133="Lean",Dashboard!$B$4,IF($E133="Standard",Dashboard!$B$5,IF($E133="Max",Dashboard!$B$6,IF($E133="Parlay",Dashboard!$B$7,"")))))</f>
        <v/>
      </c>
      <c r="G133" s="15" t="n"/>
      <c r="H133" s="15" t="n"/>
      <c r="I133" s="15" t="n"/>
      <c r="J133" s="15" t="n"/>
      <c r="K133" s="17">
        <f>IF($J133="","",IF($J133="Pending","",IF($J133="P",0,IF($J133="L",-$F133,IF($G133="","",IF($G133&gt;0,$F133*$G133/100,$F133*100/ABS($G133)))))))</f>
        <v/>
      </c>
      <c r="L133" s="24">
        <f>IF(OR($H133="",$I133=""),"",IF($C133="Spread",$H133-$I133,IF($C133="Under",$H133-$I133,IF($C133="Over",$I133-$H133,IF($C133="ML",(IF($I133&gt;0,100/($I133+100),ABS($I133)/(ABS($I133)+100))-IF($H133&gt;0,100/($H133+100),ABS($H133)/(ABS($H133)+100)))*100,"")))))</f>
        <v/>
      </c>
    </row>
    <row r="134">
      <c r="A134" s="23" t="n"/>
      <c r="B134" s="15" t="n"/>
      <c r="C134" s="15" t="n"/>
      <c r="D134" s="15" t="n"/>
      <c r="E134" s="15" t="n"/>
      <c r="F134" s="17">
        <f>IF($E134="","",IF($E134="Lean",Dashboard!$B$4,IF($E134="Standard",Dashboard!$B$5,IF($E134="Max",Dashboard!$B$6,IF($E134="Parlay",Dashboard!$B$7,"")))))</f>
        <v/>
      </c>
      <c r="G134" s="15" t="n"/>
      <c r="H134" s="15" t="n"/>
      <c r="I134" s="15" t="n"/>
      <c r="J134" s="15" t="n"/>
      <c r="K134" s="17">
        <f>IF($J134="","",IF($J134="Pending","",IF($J134="P",0,IF($J134="L",-$F134,IF($G134="","",IF($G134&gt;0,$F134*$G134/100,$F134*100/ABS($G134)))))))</f>
        <v/>
      </c>
      <c r="L134" s="24">
        <f>IF(OR($H134="",$I134=""),"",IF($C134="Spread",$H134-$I134,IF($C134="Under",$H134-$I134,IF($C134="Over",$I134-$H134,IF($C134="ML",(IF($I134&gt;0,100/($I134+100),ABS($I134)/(ABS($I134)+100))-IF($H134&gt;0,100/($H134+100),ABS($H134)/(ABS($H134)+100)))*100,"")))))</f>
        <v/>
      </c>
    </row>
    <row r="135">
      <c r="A135" s="23" t="n"/>
      <c r="B135" s="15" t="n"/>
      <c r="C135" s="15" t="n"/>
      <c r="D135" s="15" t="n"/>
      <c r="E135" s="15" t="n"/>
      <c r="F135" s="17">
        <f>IF($E135="","",IF($E135="Lean",Dashboard!$B$4,IF($E135="Standard",Dashboard!$B$5,IF($E135="Max",Dashboard!$B$6,IF($E135="Parlay",Dashboard!$B$7,"")))))</f>
        <v/>
      </c>
      <c r="G135" s="15" t="n"/>
      <c r="H135" s="15" t="n"/>
      <c r="I135" s="15" t="n"/>
      <c r="J135" s="15" t="n"/>
      <c r="K135" s="17">
        <f>IF($J135="","",IF($J135="Pending","",IF($J135="P",0,IF($J135="L",-$F135,IF($G135="","",IF($G135&gt;0,$F135*$G135/100,$F135*100/ABS($G135)))))))</f>
        <v/>
      </c>
      <c r="L135" s="24">
        <f>IF(OR($H135="",$I135=""),"",IF($C135="Spread",$H135-$I135,IF($C135="Under",$H135-$I135,IF($C135="Over",$I135-$H135,IF($C135="ML",(IF($I135&gt;0,100/($I135+100),ABS($I135)/(ABS($I135)+100))-IF($H135&gt;0,100/($H135+100),ABS($H135)/(ABS($H135)+100)))*100,"")))))</f>
        <v/>
      </c>
    </row>
    <row r="136">
      <c r="A136" s="23" t="n"/>
      <c r="B136" s="15" t="n"/>
      <c r="C136" s="15" t="n"/>
      <c r="D136" s="15" t="n"/>
      <c r="E136" s="15" t="n"/>
      <c r="F136" s="17">
        <f>IF($E136="","",IF($E136="Lean",Dashboard!$B$4,IF($E136="Standard",Dashboard!$B$5,IF($E136="Max",Dashboard!$B$6,IF($E136="Parlay",Dashboard!$B$7,"")))))</f>
        <v/>
      </c>
      <c r="G136" s="15" t="n"/>
      <c r="H136" s="15" t="n"/>
      <c r="I136" s="15" t="n"/>
      <c r="J136" s="15" t="n"/>
      <c r="K136" s="17">
        <f>IF($J136="","",IF($J136="Pending","",IF($J136="P",0,IF($J136="L",-$F136,IF($G136="","",IF($G136&gt;0,$F136*$G136/100,$F136*100/ABS($G136)))))))</f>
        <v/>
      </c>
      <c r="L136" s="24">
        <f>IF(OR($H136="",$I136=""),"",IF($C136="Spread",$H136-$I136,IF($C136="Under",$H136-$I136,IF($C136="Over",$I136-$H136,IF($C136="ML",(IF($I136&gt;0,100/($I136+100),ABS($I136)/(ABS($I136)+100))-IF($H136&gt;0,100/($H136+100),ABS($H136)/(ABS($H136)+100)))*100,"")))))</f>
        <v/>
      </c>
    </row>
    <row r="137">
      <c r="A137" s="23" t="n"/>
      <c r="B137" s="15" t="n"/>
      <c r="C137" s="15" t="n"/>
      <c r="D137" s="15" t="n"/>
      <c r="E137" s="15" t="n"/>
      <c r="F137" s="17">
        <f>IF($E137="","",IF($E137="Lean",Dashboard!$B$4,IF($E137="Standard",Dashboard!$B$5,IF($E137="Max",Dashboard!$B$6,IF($E137="Parlay",Dashboard!$B$7,"")))))</f>
        <v/>
      </c>
      <c r="G137" s="15" t="n"/>
      <c r="H137" s="15" t="n"/>
      <c r="I137" s="15" t="n"/>
      <c r="J137" s="15" t="n"/>
      <c r="K137" s="17">
        <f>IF($J137="","",IF($J137="Pending","",IF($J137="P",0,IF($J137="L",-$F137,IF($G137="","",IF($G137&gt;0,$F137*$G137/100,$F137*100/ABS($G137)))))))</f>
        <v/>
      </c>
      <c r="L137" s="24">
        <f>IF(OR($H137="",$I137=""),"",IF($C137="Spread",$H137-$I137,IF($C137="Under",$H137-$I137,IF($C137="Over",$I137-$H137,IF($C137="ML",(IF($I137&gt;0,100/($I137+100),ABS($I137)/(ABS($I137)+100))-IF($H137&gt;0,100/($H137+100),ABS($H137)/(ABS($H137)+100)))*100,"")))))</f>
        <v/>
      </c>
    </row>
    <row r="138">
      <c r="A138" s="23" t="n"/>
      <c r="B138" s="15" t="n"/>
      <c r="C138" s="15" t="n"/>
      <c r="D138" s="15" t="n"/>
      <c r="E138" s="15" t="n"/>
      <c r="F138" s="17">
        <f>IF($E138="","",IF($E138="Lean",Dashboard!$B$4,IF($E138="Standard",Dashboard!$B$5,IF($E138="Max",Dashboard!$B$6,IF($E138="Parlay",Dashboard!$B$7,"")))))</f>
        <v/>
      </c>
      <c r="G138" s="15" t="n"/>
      <c r="H138" s="15" t="n"/>
      <c r="I138" s="15" t="n"/>
      <c r="J138" s="15" t="n"/>
      <c r="K138" s="17">
        <f>IF($J138="","",IF($J138="Pending","",IF($J138="P",0,IF($J138="L",-$F138,IF($G138="","",IF($G138&gt;0,$F138*$G138/100,$F138*100/ABS($G138)))))))</f>
        <v/>
      </c>
      <c r="L138" s="24">
        <f>IF(OR($H138="",$I138=""),"",IF($C138="Spread",$H138-$I138,IF($C138="Under",$H138-$I138,IF($C138="Over",$I138-$H138,IF($C138="ML",(IF($I138&gt;0,100/($I138+100),ABS($I138)/(ABS($I138)+100))-IF($H138&gt;0,100/($H138+100),ABS($H138)/(ABS($H138)+100)))*100,"")))))</f>
        <v/>
      </c>
    </row>
    <row r="139">
      <c r="A139" s="23" t="n"/>
      <c r="B139" s="15" t="n"/>
      <c r="C139" s="15" t="n"/>
      <c r="D139" s="15" t="n"/>
      <c r="E139" s="15" t="n"/>
      <c r="F139" s="17">
        <f>IF($E139="","",IF($E139="Lean",Dashboard!$B$4,IF($E139="Standard",Dashboard!$B$5,IF($E139="Max",Dashboard!$B$6,IF($E139="Parlay",Dashboard!$B$7,"")))))</f>
        <v/>
      </c>
      <c r="G139" s="15" t="n"/>
      <c r="H139" s="15" t="n"/>
      <c r="I139" s="15" t="n"/>
      <c r="J139" s="15" t="n"/>
      <c r="K139" s="17">
        <f>IF($J139="","",IF($J139="Pending","",IF($J139="P",0,IF($J139="L",-$F139,IF($G139="","",IF($G139&gt;0,$F139*$G139/100,$F139*100/ABS($G139)))))))</f>
        <v/>
      </c>
      <c r="L139" s="24">
        <f>IF(OR($H139="",$I139=""),"",IF($C139="Spread",$H139-$I139,IF($C139="Under",$H139-$I139,IF($C139="Over",$I139-$H139,IF($C139="ML",(IF($I139&gt;0,100/($I139+100),ABS($I139)/(ABS($I139)+100))-IF($H139&gt;0,100/($H139+100),ABS($H139)/(ABS($H139)+100)))*100,"")))))</f>
        <v/>
      </c>
    </row>
    <row r="140">
      <c r="A140" s="23" t="n"/>
      <c r="B140" s="15" t="n"/>
      <c r="C140" s="15" t="n"/>
      <c r="D140" s="15" t="n"/>
      <c r="E140" s="15" t="n"/>
      <c r="F140" s="17">
        <f>IF($E140="","",IF($E140="Lean",Dashboard!$B$4,IF($E140="Standard",Dashboard!$B$5,IF($E140="Max",Dashboard!$B$6,IF($E140="Parlay",Dashboard!$B$7,"")))))</f>
        <v/>
      </c>
      <c r="G140" s="15" t="n"/>
      <c r="H140" s="15" t="n"/>
      <c r="I140" s="15" t="n"/>
      <c r="J140" s="15" t="n"/>
      <c r="K140" s="17">
        <f>IF($J140="","",IF($J140="Pending","",IF($J140="P",0,IF($J140="L",-$F140,IF($G140="","",IF($G140&gt;0,$F140*$G140/100,$F140*100/ABS($G140)))))))</f>
        <v/>
      </c>
      <c r="L140" s="24">
        <f>IF(OR($H140="",$I140=""),"",IF($C140="Spread",$H140-$I140,IF($C140="Under",$H140-$I140,IF($C140="Over",$I140-$H140,IF($C140="ML",(IF($I140&gt;0,100/($I140+100),ABS($I140)/(ABS($I140)+100))-IF($H140&gt;0,100/($H140+100),ABS($H140)/(ABS($H140)+100)))*100,"")))))</f>
        <v/>
      </c>
    </row>
    <row r="141">
      <c r="A141" s="23" t="n"/>
      <c r="B141" s="15" t="n"/>
      <c r="C141" s="15" t="n"/>
      <c r="D141" s="15" t="n"/>
      <c r="E141" s="15" t="n"/>
      <c r="F141" s="17">
        <f>IF($E141="","",IF($E141="Lean",Dashboard!$B$4,IF($E141="Standard",Dashboard!$B$5,IF($E141="Max",Dashboard!$B$6,IF($E141="Parlay",Dashboard!$B$7,"")))))</f>
        <v/>
      </c>
      <c r="G141" s="15" t="n"/>
      <c r="H141" s="15" t="n"/>
      <c r="I141" s="15" t="n"/>
      <c r="J141" s="15" t="n"/>
      <c r="K141" s="17">
        <f>IF($J141="","",IF($J141="Pending","",IF($J141="P",0,IF($J141="L",-$F141,IF($G141="","",IF($G141&gt;0,$F141*$G141/100,$F141*100/ABS($G141)))))))</f>
        <v/>
      </c>
      <c r="L141" s="24">
        <f>IF(OR($H141="",$I141=""),"",IF($C141="Spread",$H141-$I141,IF($C141="Under",$H141-$I141,IF($C141="Over",$I141-$H141,IF($C141="ML",(IF($I141&gt;0,100/($I141+100),ABS($I141)/(ABS($I141)+100))-IF($H141&gt;0,100/($H141+100),ABS($H141)/(ABS($H141)+100)))*100,"")))))</f>
        <v/>
      </c>
    </row>
    <row r="142">
      <c r="A142" s="23" t="n"/>
      <c r="B142" s="15" t="n"/>
      <c r="C142" s="15" t="n"/>
      <c r="D142" s="15" t="n"/>
      <c r="E142" s="15" t="n"/>
      <c r="F142" s="17">
        <f>IF($E142="","",IF($E142="Lean",Dashboard!$B$4,IF($E142="Standard",Dashboard!$B$5,IF($E142="Max",Dashboard!$B$6,IF($E142="Parlay",Dashboard!$B$7,"")))))</f>
        <v/>
      </c>
      <c r="G142" s="15" t="n"/>
      <c r="H142" s="15" t="n"/>
      <c r="I142" s="15" t="n"/>
      <c r="J142" s="15" t="n"/>
      <c r="K142" s="17">
        <f>IF($J142="","",IF($J142="Pending","",IF($J142="P",0,IF($J142="L",-$F142,IF($G142="","",IF($G142&gt;0,$F142*$G142/100,$F142*100/ABS($G142)))))))</f>
        <v/>
      </c>
      <c r="L142" s="24">
        <f>IF(OR($H142="",$I142=""),"",IF($C142="Spread",$H142-$I142,IF($C142="Under",$H142-$I142,IF($C142="Over",$I142-$H142,IF($C142="ML",(IF($I142&gt;0,100/($I142+100),ABS($I142)/(ABS($I142)+100))-IF($H142&gt;0,100/($H142+100),ABS($H142)/(ABS($H142)+100)))*100,"")))))</f>
        <v/>
      </c>
    </row>
    <row r="143">
      <c r="A143" s="23" t="n"/>
      <c r="B143" s="15" t="n"/>
      <c r="C143" s="15" t="n"/>
      <c r="D143" s="15" t="n"/>
      <c r="E143" s="15" t="n"/>
      <c r="F143" s="17">
        <f>IF($E143="","",IF($E143="Lean",Dashboard!$B$4,IF($E143="Standard",Dashboard!$B$5,IF($E143="Max",Dashboard!$B$6,IF($E143="Parlay",Dashboard!$B$7,"")))))</f>
        <v/>
      </c>
      <c r="G143" s="15" t="n"/>
      <c r="H143" s="15" t="n"/>
      <c r="I143" s="15" t="n"/>
      <c r="J143" s="15" t="n"/>
      <c r="K143" s="17">
        <f>IF($J143="","",IF($J143="Pending","",IF($J143="P",0,IF($J143="L",-$F143,IF($G143="","",IF($G143&gt;0,$F143*$G143/100,$F143*100/ABS($G143)))))))</f>
        <v/>
      </c>
      <c r="L143" s="24">
        <f>IF(OR($H143="",$I143=""),"",IF($C143="Spread",$H143-$I143,IF($C143="Under",$H143-$I143,IF($C143="Over",$I143-$H143,IF($C143="ML",(IF($I143&gt;0,100/($I143+100),ABS($I143)/(ABS($I143)+100))-IF($H143&gt;0,100/($H143+100),ABS($H143)/(ABS($H143)+100)))*100,"")))))</f>
        <v/>
      </c>
    </row>
    <row r="144">
      <c r="A144" s="23" t="n"/>
      <c r="B144" s="15" t="n"/>
      <c r="C144" s="15" t="n"/>
      <c r="D144" s="15" t="n"/>
      <c r="E144" s="15" t="n"/>
      <c r="F144" s="17">
        <f>IF($E144="","",IF($E144="Lean",Dashboard!$B$4,IF($E144="Standard",Dashboard!$B$5,IF($E144="Max",Dashboard!$B$6,IF($E144="Parlay",Dashboard!$B$7,"")))))</f>
        <v/>
      </c>
      <c r="G144" s="15" t="n"/>
      <c r="H144" s="15" t="n"/>
      <c r="I144" s="15" t="n"/>
      <c r="J144" s="15" t="n"/>
      <c r="K144" s="17">
        <f>IF($J144="","",IF($J144="Pending","",IF($J144="P",0,IF($J144="L",-$F144,IF($G144="","",IF($G144&gt;0,$F144*$G144/100,$F144*100/ABS($G144)))))))</f>
        <v/>
      </c>
      <c r="L144" s="24">
        <f>IF(OR($H144="",$I144=""),"",IF($C144="Spread",$H144-$I144,IF($C144="Under",$H144-$I144,IF($C144="Over",$I144-$H144,IF($C144="ML",(IF($I144&gt;0,100/($I144+100),ABS($I144)/(ABS($I144)+100))-IF($H144&gt;0,100/($H144+100),ABS($H144)/(ABS($H144)+100)))*100,"")))))</f>
        <v/>
      </c>
    </row>
    <row r="145">
      <c r="A145" s="23" t="n"/>
      <c r="B145" s="15" t="n"/>
      <c r="C145" s="15" t="n"/>
      <c r="D145" s="15" t="n"/>
      <c r="E145" s="15" t="n"/>
      <c r="F145" s="17">
        <f>IF($E145="","",IF($E145="Lean",Dashboard!$B$4,IF($E145="Standard",Dashboard!$B$5,IF($E145="Max",Dashboard!$B$6,IF($E145="Parlay",Dashboard!$B$7,"")))))</f>
        <v/>
      </c>
      <c r="G145" s="15" t="n"/>
      <c r="H145" s="15" t="n"/>
      <c r="I145" s="15" t="n"/>
      <c r="J145" s="15" t="n"/>
      <c r="K145" s="17">
        <f>IF($J145="","",IF($J145="Pending","",IF($J145="P",0,IF($J145="L",-$F145,IF($G145="","",IF($G145&gt;0,$F145*$G145/100,$F145*100/ABS($G145)))))))</f>
        <v/>
      </c>
      <c r="L145" s="24">
        <f>IF(OR($H145="",$I145=""),"",IF($C145="Spread",$H145-$I145,IF($C145="Under",$H145-$I145,IF($C145="Over",$I145-$H145,IF($C145="ML",(IF($I145&gt;0,100/($I145+100),ABS($I145)/(ABS($I145)+100))-IF($H145&gt;0,100/($H145+100),ABS($H145)/(ABS($H145)+100)))*100,"")))))</f>
        <v/>
      </c>
    </row>
    <row r="146">
      <c r="A146" s="23" t="n"/>
      <c r="B146" s="15" t="n"/>
      <c r="C146" s="15" t="n"/>
      <c r="D146" s="15" t="n"/>
      <c r="E146" s="15" t="n"/>
      <c r="F146" s="17">
        <f>IF($E146="","",IF($E146="Lean",Dashboard!$B$4,IF($E146="Standard",Dashboard!$B$5,IF($E146="Max",Dashboard!$B$6,IF($E146="Parlay",Dashboard!$B$7,"")))))</f>
        <v/>
      </c>
      <c r="G146" s="15" t="n"/>
      <c r="H146" s="15" t="n"/>
      <c r="I146" s="15" t="n"/>
      <c r="J146" s="15" t="n"/>
      <c r="K146" s="17">
        <f>IF($J146="","",IF($J146="Pending","",IF($J146="P",0,IF($J146="L",-$F146,IF($G146="","",IF($G146&gt;0,$F146*$G146/100,$F146*100/ABS($G146)))))))</f>
        <v/>
      </c>
      <c r="L146" s="24">
        <f>IF(OR($H146="",$I146=""),"",IF($C146="Spread",$H146-$I146,IF($C146="Under",$H146-$I146,IF($C146="Over",$I146-$H146,IF($C146="ML",(IF($I146&gt;0,100/($I146+100),ABS($I146)/(ABS($I146)+100))-IF($H146&gt;0,100/($H146+100),ABS($H146)/(ABS($H146)+100)))*100,"")))))</f>
        <v/>
      </c>
    </row>
    <row r="147">
      <c r="A147" s="23" t="n"/>
      <c r="B147" s="15" t="n"/>
      <c r="C147" s="15" t="n"/>
      <c r="D147" s="15" t="n"/>
      <c r="E147" s="15" t="n"/>
      <c r="F147" s="17">
        <f>IF($E147="","",IF($E147="Lean",Dashboard!$B$4,IF($E147="Standard",Dashboard!$B$5,IF($E147="Max",Dashboard!$B$6,IF($E147="Parlay",Dashboard!$B$7,"")))))</f>
        <v/>
      </c>
      <c r="G147" s="15" t="n"/>
      <c r="H147" s="15" t="n"/>
      <c r="I147" s="15" t="n"/>
      <c r="J147" s="15" t="n"/>
      <c r="K147" s="17">
        <f>IF($J147="","",IF($J147="Pending","",IF($J147="P",0,IF($J147="L",-$F147,IF($G147="","",IF($G147&gt;0,$F147*$G147/100,$F147*100/ABS($G147)))))))</f>
        <v/>
      </c>
      <c r="L147" s="24">
        <f>IF(OR($H147="",$I147=""),"",IF($C147="Spread",$H147-$I147,IF($C147="Under",$H147-$I147,IF($C147="Over",$I147-$H147,IF($C147="ML",(IF($I147&gt;0,100/($I147+100),ABS($I147)/(ABS($I147)+100))-IF($H147&gt;0,100/($H147+100),ABS($H147)/(ABS($H147)+100)))*100,"")))))</f>
        <v/>
      </c>
    </row>
    <row r="148">
      <c r="A148" s="23" t="n"/>
      <c r="B148" s="15" t="n"/>
      <c r="C148" s="15" t="n"/>
      <c r="D148" s="15" t="n"/>
      <c r="E148" s="15" t="n"/>
      <c r="F148" s="17">
        <f>IF($E148="","",IF($E148="Lean",Dashboard!$B$4,IF($E148="Standard",Dashboard!$B$5,IF($E148="Max",Dashboard!$B$6,IF($E148="Parlay",Dashboard!$B$7,"")))))</f>
        <v/>
      </c>
      <c r="G148" s="15" t="n"/>
      <c r="H148" s="15" t="n"/>
      <c r="I148" s="15" t="n"/>
      <c r="J148" s="15" t="n"/>
      <c r="K148" s="17">
        <f>IF($J148="","",IF($J148="Pending","",IF($J148="P",0,IF($J148="L",-$F148,IF($G148="","",IF($G148&gt;0,$F148*$G148/100,$F148*100/ABS($G148)))))))</f>
        <v/>
      </c>
      <c r="L148" s="24">
        <f>IF(OR($H148="",$I148=""),"",IF($C148="Spread",$H148-$I148,IF($C148="Under",$H148-$I148,IF($C148="Over",$I148-$H148,IF($C148="ML",(IF($I148&gt;0,100/($I148+100),ABS($I148)/(ABS($I148)+100))-IF($H148&gt;0,100/($H148+100),ABS($H148)/(ABS($H148)+100)))*100,"")))))</f>
        <v/>
      </c>
    </row>
    <row r="149">
      <c r="A149" s="23" t="n"/>
      <c r="B149" s="15" t="n"/>
      <c r="C149" s="15" t="n"/>
      <c r="D149" s="15" t="n"/>
      <c r="E149" s="15" t="n"/>
      <c r="F149" s="17">
        <f>IF($E149="","",IF($E149="Lean",Dashboard!$B$4,IF($E149="Standard",Dashboard!$B$5,IF($E149="Max",Dashboard!$B$6,IF($E149="Parlay",Dashboard!$B$7,"")))))</f>
        <v/>
      </c>
      <c r="G149" s="15" t="n"/>
      <c r="H149" s="15" t="n"/>
      <c r="I149" s="15" t="n"/>
      <c r="J149" s="15" t="n"/>
      <c r="K149" s="17">
        <f>IF($J149="","",IF($J149="Pending","",IF($J149="P",0,IF($J149="L",-$F149,IF($G149="","",IF($G149&gt;0,$F149*$G149/100,$F149*100/ABS($G149)))))))</f>
        <v/>
      </c>
      <c r="L149" s="24">
        <f>IF(OR($H149="",$I149=""),"",IF($C149="Spread",$H149-$I149,IF($C149="Under",$H149-$I149,IF($C149="Over",$I149-$H149,IF($C149="ML",(IF($I149&gt;0,100/($I149+100),ABS($I149)/(ABS($I149)+100))-IF($H149&gt;0,100/($H149+100),ABS($H149)/(ABS($H149)+100)))*100,"")))))</f>
        <v/>
      </c>
    </row>
    <row r="150">
      <c r="A150" s="23" t="n"/>
      <c r="B150" s="15" t="n"/>
      <c r="C150" s="15" t="n"/>
      <c r="D150" s="15" t="n"/>
      <c r="E150" s="15" t="n"/>
      <c r="F150" s="17">
        <f>IF($E150="","",IF($E150="Lean",Dashboard!$B$4,IF($E150="Standard",Dashboard!$B$5,IF($E150="Max",Dashboard!$B$6,IF($E150="Parlay",Dashboard!$B$7,"")))))</f>
        <v/>
      </c>
      <c r="G150" s="15" t="n"/>
      <c r="H150" s="15" t="n"/>
      <c r="I150" s="15" t="n"/>
      <c r="J150" s="15" t="n"/>
      <c r="K150" s="17">
        <f>IF($J150="","",IF($J150="Pending","",IF($J150="P",0,IF($J150="L",-$F150,IF($G150="","",IF($G150&gt;0,$F150*$G150/100,$F150*100/ABS($G150)))))))</f>
        <v/>
      </c>
      <c r="L150" s="24">
        <f>IF(OR($H150="",$I150=""),"",IF($C150="Spread",$H150-$I150,IF($C150="Under",$H150-$I150,IF($C150="Over",$I150-$H150,IF($C150="ML",(IF($I150&gt;0,100/($I150+100),ABS($I150)/(ABS($I150)+100))-IF($H150&gt;0,100/($H150+100),ABS($H150)/(ABS($H150)+100)))*100,"")))))</f>
        <v/>
      </c>
    </row>
    <row r="151">
      <c r="A151" s="23" t="n"/>
      <c r="B151" s="15" t="n"/>
      <c r="C151" s="15" t="n"/>
      <c r="D151" s="15" t="n"/>
      <c r="E151" s="15" t="n"/>
      <c r="F151" s="17">
        <f>IF($E151="","",IF($E151="Lean",Dashboard!$B$4,IF($E151="Standard",Dashboard!$B$5,IF($E151="Max",Dashboard!$B$6,IF($E151="Parlay",Dashboard!$B$7,"")))))</f>
        <v/>
      </c>
      <c r="G151" s="15" t="n"/>
      <c r="H151" s="15" t="n"/>
      <c r="I151" s="15" t="n"/>
      <c r="J151" s="15" t="n"/>
      <c r="K151" s="17">
        <f>IF($J151="","",IF($J151="Pending","",IF($J151="P",0,IF($J151="L",-$F151,IF($G151="","",IF($G151&gt;0,$F151*$G151/100,$F151*100/ABS($G151)))))))</f>
        <v/>
      </c>
      <c r="L151" s="24">
        <f>IF(OR($H151="",$I151=""),"",IF($C151="Spread",$H151-$I151,IF($C151="Under",$H151-$I151,IF($C151="Over",$I151-$H151,IF($C151="ML",(IF($I151&gt;0,100/($I151+100),ABS($I151)/(ABS($I151)+100))-IF($H151&gt;0,100/($H151+100),ABS($H151)/(ABS($H151)+100)))*100,"")))))</f>
        <v/>
      </c>
    </row>
    <row r="152">
      <c r="A152" s="23" t="n"/>
      <c r="B152" s="15" t="n"/>
      <c r="C152" s="15" t="n"/>
      <c r="D152" s="15" t="n"/>
      <c r="E152" s="15" t="n"/>
      <c r="F152" s="17">
        <f>IF($E152="","",IF($E152="Lean",Dashboard!$B$4,IF($E152="Standard",Dashboard!$B$5,IF($E152="Max",Dashboard!$B$6,IF($E152="Parlay",Dashboard!$B$7,"")))))</f>
        <v/>
      </c>
      <c r="G152" s="15" t="n"/>
      <c r="H152" s="15" t="n"/>
      <c r="I152" s="15" t="n"/>
      <c r="J152" s="15" t="n"/>
      <c r="K152" s="17">
        <f>IF($J152="","",IF($J152="Pending","",IF($J152="P",0,IF($J152="L",-$F152,IF($G152="","",IF($G152&gt;0,$F152*$G152/100,$F152*100/ABS($G152)))))))</f>
        <v/>
      </c>
      <c r="L152" s="24">
        <f>IF(OR($H152="",$I152=""),"",IF($C152="Spread",$H152-$I152,IF($C152="Under",$H152-$I152,IF($C152="Over",$I152-$H152,IF($C152="ML",(IF($I152&gt;0,100/($I152+100),ABS($I152)/(ABS($I152)+100))-IF($H152&gt;0,100/($H152+100),ABS($H152)/(ABS($H152)+100)))*100,"")))))</f>
        <v/>
      </c>
    </row>
    <row r="153">
      <c r="A153" s="23" t="n"/>
      <c r="B153" s="15" t="n"/>
      <c r="C153" s="15" t="n"/>
      <c r="D153" s="15" t="n"/>
      <c r="E153" s="15" t="n"/>
      <c r="F153" s="17">
        <f>IF($E153="","",IF($E153="Lean",Dashboard!$B$4,IF($E153="Standard",Dashboard!$B$5,IF($E153="Max",Dashboard!$B$6,IF($E153="Parlay",Dashboard!$B$7,"")))))</f>
        <v/>
      </c>
      <c r="G153" s="15" t="n"/>
      <c r="H153" s="15" t="n"/>
      <c r="I153" s="15" t="n"/>
      <c r="J153" s="15" t="n"/>
      <c r="K153" s="17">
        <f>IF($J153="","",IF($J153="Pending","",IF($J153="P",0,IF($J153="L",-$F153,IF($G153="","",IF($G153&gt;0,$F153*$G153/100,$F153*100/ABS($G153)))))))</f>
        <v/>
      </c>
      <c r="L153" s="24">
        <f>IF(OR($H153="",$I153=""),"",IF($C153="Spread",$H153-$I153,IF($C153="Under",$H153-$I153,IF($C153="Over",$I153-$H153,IF($C153="ML",(IF($I153&gt;0,100/($I153+100),ABS($I153)/(ABS($I153)+100))-IF($H153&gt;0,100/($H153+100),ABS($H153)/(ABS($H153)+100)))*100,"")))))</f>
        <v/>
      </c>
    </row>
    <row r="154">
      <c r="A154" s="23" t="n"/>
      <c r="B154" s="15" t="n"/>
      <c r="C154" s="15" t="n"/>
      <c r="D154" s="15" t="n"/>
      <c r="E154" s="15" t="n"/>
      <c r="F154" s="17">
        <f>IF($E154="","",IF($E154="Lean",Dashboard!$B$4,IF($E154="Standard",Dashboard!$B$5,IF($E154="Max",Dashboard!$B$6,IF($E154="Parlay",Dashboard!$B$7,"")))))</f>
        <v/>
      </c>
      <c r="G154" s="15" t="n"/>
      <c r="H154" s="15" t="n"/>
      <c r="I154" s="15" t="n"/>
      <c r="J154" s="15" t="n"/>
      <c r="K154" s="17">
        <f>IF($J154="","",IF($J154="Pending","",IF($J154="P",0,IF($J154="L",-$F154,IF($G154="","",IF($G154&gt;0,$F154*$G154/100,$F154*100/ABS($G154)))))))</f>
        <v/>
      </c>
      <c r="L154" s="24">
        <f>IF(OR($H154="",$I154=""),"",IF($C154="Spread",$H154-$I154,IF($C154="Under",$H154-$I154,IF($C154="Over",$I154-$H154,IF($C154="ML",(IF($I154&gt;0,100/($I154+100),ABS($I154)/(ABS($I154)+100))-IF($H154&gt;0,100/($H154+100),ABS($H154)/(ABS($H154)+100)))*100,"")))))</f>
        <v/>
      </c>
    </row>
    <row r="155">
      <c r="A155" s="23" t="n"/>
      <c r="B155" s="15" t="n"/>
      <c r="C155" s="15" t="n"/>
      <c r="D155" s="15" t="n"/>
      <c r="E155" s="15" t="n"/>
      <c r="F155" s="17">
        <f>IF($E155="","",IF($E155="Lean",Dashboard!$B$4,IF($E155="Standard",Dashboard!$B$5,IF($E155="Max",Dashboard!$B$6,IF($E155="Parlay",Dashboard!$B$7,"")))))</f>
        <v/>
      </c>
      <c r="G155" s="15" t="n"/>
      <c r="H155" s="15" t="n"/>
      <c r="I155" s="15" t="n"/>
      <c r="J155" s="15" t="n"/>
      <c r="K155" s="17">
        <f>IF($J155="","",IF($J155="Pending","",IF($J155="P",0,IF($J155="L",-$F155,IF($G155="","",IF($G155&gt;0,$F155*$G155/100,$F155*100/ABS($G155)))))))</f>
        <v/>
      </c>
      <c r="L155" s="24">
        <f>IF(OR($H155="",$I155=""),"",IF($C155="Spread",$H155-$I155,IF($C155="Under",$H155-$I155,IF($C155="Over",$I155-$H155,IF($C155="ML",(IF($I155&gt;0,100/($I155+100),ABS($I155)/(ABS($I155)+100))-IF($H155&gt;0,100/($H155+100),ABS($H155)/(ABS($H155)+100)))*100,"")))))</f>
        <v/>
      </c>
    </row>
    <row r="156">
      <c r="A156" s="23" t="n"/>
      <c r="B156" s="15" t="n"/>
      <c r="C156" s="15" t="n"/>
      <c r="D156" s="15" t="n"/>
      <c r="E156" s="15" t="n"/>
      <c r="F156" s="17">
        <f>IF($E156="","",IF($E156="Lean",Dashboard!$B$4,IF($E156="Standard",Dashboard!$B$5,IF($E156="Max",Dashboard!$B$6,IF($E156="Parlay",Dashboard!$B$7,"")))))</f>
        <v/>
      </c>
      <c r="G156" s="15" t="n"/>
      <c r="H156" s="15" t="n"/>
      <c r="I156" s="15" t="n"/>
      <c r="J156" s="15" t="n"/>
      <c r="K156" s="17">
        <f>IF($J156="","",IF($J156="Pending","",IF($J156="P",0,IF($J156="L",-$F156,IF($G156="","",IF($G156&gt;0,$F156*$G156/100,$F156*100/ABS($G156)))))))</f>
        <v/>
      </c>
      <c r="L156" s="24">
        <f>IF(OR($H156="",$I156=""),"",IF($C156="Spread",$H156-$I156,IF($C156="Under",$H156-$I156,IF($C156="Over",$I156-$H156,IF($C156="ML",(IF($I156&gt;0,100/($I156+100),ABS($I156)/(ABS($I156)+100))-IF($H156&gt;0,100/($H156+100),ABS($H156)/(ABS($H156)+100)))*100,"")))))</f>
        <v/>
      </c>
    </row>
    <row r="157">
      <c r="A157" s="23" t="n"/>
      <c r="B157" s="15" t="n"/>
      <c r="C157" s="15" t="n"/>
      <c r="D157" s="15" t="n"/>
      <c r="E157" s="15" t="n"/>
      <c r="F157" s="17">
        <f>IF($E157="","",IF($E157="Lean",Dashboard!$B$4,IF($E157="Standard",Dashboard!$B$5,IF($E157="Max",Dashboard!$B$6,IF($E157="Parlay",Dashboard!$B$7,"")))))</f>
        <v/>
      </c>
      <c r="G157" s="15" t="n"/>
      <c r="H157" s="15" t="n"/>
      <c r="I157" s="15" t="n"/>
      <c r="J157" s="15" t="n"/>
      <c r="K157" s="17">
        <f>IF($J157="","",IF($J157="Pending","",IF($J157="P",0,IF($J157="L",-$F157,IF($G157="","",IF($G157&gt;0,$F157*$G157/100,$F157*100/ABS($G157)))))))</f>
        <v/>
      </c>
      <c r="L157" s="24">
        <f>IF(OR($H157="",$I157=""),"",IF($C157="Spread",$H157-$I157,IF($C157="Under",$H157-$I157,IF($C157="Over",$I157-$H157,IF($C157="ML",(IF($I157&gt;0,100/($I157+100),ABS($I157)/(ABS($I157)+100))-IF($H157&gt;0,100/($H157+100),ABS($H157)/(ABS($H157)+100)))*100,"")))))</f>
        <v/>
      </c>
    </row>
    <row r="158">
      <c r="A158" s="23" t="n"/>
      <c r="B158" s="15" t="n"/>
      <c r="C158" s="15" t="n"/>
      <c r="D158" s="15" t="n"/>
      <c r="E158" s="15" t="n"/>
      <c r="F158" s="17">
        <f>IF($E158="","",IF($E158="Lean",Dashboard!$B$4,IF($E158="Standard",Dashboard!$B$5,IF($E158="Max",Dashboard!$B$6,IF($E158="Parlay",Dashboard!$B$7,"")))))</f>
        <v/>
      </c>
      <c r="G158" s="15" t="n"/>
      <c r="H158" s="15" t="n"/>
      <c r="I158" s="15" t="n"/>
      <c r="J158" s="15" t="n"/>
      <c r="K158" s="17">
        <f>IF($J158="","",IF($J158="Pending","",IF($J158="P",0,IF($J158="L",-$F158,IF($G158="","",IF($G158&gt;0,$F158*$G158/100,$F158*100/ABS($G158)))))))</f>
        <v/>
      </c>
      <c r="L158" s="24">
        <f>IF(OR($H158="",$I158=""),"",IF($C158="Spread",$H158-$I158,IF($C158="Under",$H158-$I158,IF($C158="Over",$I158-$H158,IF($C158="ML",(IF($I158&gt;0,100/($I158+100),ABS($I158)/(ABS($I158)+100))-IF($H158&gt;0,100/($H158+100),ABS($H158)/(ABS($H158)+100)))*100,"")))))</f>
        <v/>
      </c>
    </row>
    <row r="159">
      <c r="A159" s="23" t="n"/>
      <c r="B159" s="15" t="n"/>
      <c r="C159" s="15" t="n"/>
      <c r="D159" s="15" t="n"/>
      <c r="E159" s="15" t="n"/>
      <c r="F159" s="17">
        <f>IF($E159="","",IF($E159="Lean",Dashboard!$B$4,IF($E159="Standard",Dashboard!$B$5,IF($E159="Max",Dashboard!$B$6,IF($E159="Parlay",Dashboard!$B$7,"")))))</f>
        <v/>
      </c>
      <c r="G159" s="15" t="n"/>
      <c r="H159" s="15" t="n"/>
      <c r="I159" s="15" t="n"/>
      <c r="J159" s="15" t="n"/>
      <c r="K159" s="17">
        <f>IF($J159="","",IF($J159="Pending","",IF($J159="P",0,IF($J159="L",-$F159,IF($G159="","",IF($G159&gt;0,$F159*$G159/100,$F159*100/ABS($G159)))))))</f>
        <v/>
      </c>
      <c r="L159" s="24">
        <f>IF(OR($H159="",$I159=""),"",IF($C159="Spread",$H159-$I159,IF($C159="Under",$H159-$I159,IF($C159="Over",$I159-$H159,IF($C159="ML",(IF($I159&gt;0,100/($I159+100),ABS($I159)/(ABS($I159)+100))-IF($H159&gt;0,100/($H159+100),ABS($H159)/(ABS($H159)+100)))*100,"")))))</f>
        <v/>
      </c>
    </row>
    <row r="160">
      <c r="A160" s="23" t="n"/>
      <c r="B160" s="15" t="n"/>
      <c r="C160" s="15" t="n"/>
      <c r="D160" s="15" t="n"/>
      <c r="E160" s="15" t="n"/>
      <c r="F160" s="17">
        <f>IF($E160="","",IF($E160="Lean",Dashboard!$B$4,IF($E160="Standard",Dashboard!$B$5,IF($E160="Max",Dashboard!$B$6,IF($E160="Parlay",Dashboard!$B$7,"")))))</f>
        <v/>
      </c>
      <c r="G160" s="15" t="n"/>
      <c r="H160" s="15" t="n"/>
      <c r="I160" s="15" t="n"/>
      <c r="J160" s="15" t="n"/>
      <c r="K160" s="17">
        <f>IF($J160="","",IF($J160="Pending","",IF($J160="P",0,IF($J160="L",-$F160,IF($G160="","",IF($G160&gt;0,$F160*$G160/100,$F160*100/ABS($G160)))))))</f>
        <v/>
      </c>
      <c r="L160" s="24">
        <f>IF(OR($H160="",$I160=""),"",IF($C160="Spread",$H160-$I160,IF($C160="Under",$H160-$I160,IF($C160="Over",$I160-$H160,IF($C160="ML",(IF($I160&gt;0,100/($I160+100),ABS($I160)/(ABS($I160)+100))-IF($H160&gt;0,100/($H160+100),ABS($H160)/(ABS($H160)+100)))*100,"")))))</f>
        <v/>
      </c>
    </row>
    <row r="161">
      <c r="A161" s="23" t="n"/>
      <c r="B161" s="15" t="n"/>
      <c r="C161" s="15" t="n"/>
      <c r="D161" s="15" t="n"/>
      <c r="E161" s="15" t="n"/>
      <c r="F161" s="17">
        <f>IF($E161="","",IF($E161="Lean",Dashboard!$B$4,IF($E161="Standard",Dashboard!$B$5,IF($E161="Max",Dashboard!$B$6,IF($E161="Parlay",Dashboard!$B$7,"")))))</f>
        <v/>
      </c>
      <c r="G161" s="15" t="n"/>
      <c r="H161" s="15" t="n"/>
      <c r="I161" s="15" t="n"/>
      <c r="J161" s="15" t="n"/>
      <c r="K161" s="17">
        <f>IF($J161="","",IF($J161="Pending","",IF($J161="P",0,IF($J161="L",-$F161,IF($G161="","",IF($G161&gt;0,$F161*$G161/100,$F161*100/ABS($G161)))))))</f>
        <v/>
      </c>
      <c r="L161" s="24">
        <f>IF(OR($H161="",$I161=""),"",IF($C161="Spread",$H161-$I161,IF($C161="Under",$H161-$I161,IF($C161="Over",$I161-$H161,IF($C161="ML",(IF($I161&gt;0,100/($I161+100),ABS($I161)/(ABS($I161)+100))-IF($H161&gt;0,100/($H161+100),ABS($H161)/(ABS($H161)+100)))*100,"")))))</f>
        <v/>
      </c>
    </row>
    <row r="162">
      <c r="A162" s="23" t="n"/>
      <c r="B162" s="15" t="n"/>
      <c r="C162" s="15" t="n"/>
      <c r="D162" s="15" t="n"/>
      <c r="E162" s="15" t="n"/>
      <c r="F162" s="17">
        <f>IF($E162="","",IF($E162="Lean",Dashboard!$B$4,IF($E162="Standard",Dashboard!$B$5,IF($E162="Max",Dashboard!$B$6,IF($E162="Parlay",Dashboard!$B$7,"")))))</f>
        <v/>
      </c>
      <c r="G162" s="15" t="n"/>
      <c r="H162" s="15" t="n"/>
      <c r="I162" s="15" t="n"/>
      <c r="J162" s="15" t="n"/>
      <c r="K162" s="17">
        <f>IF($J162="","",IF($J162="Pending","",IF($J162="P",0,IF($J162="L",-$F162,IF($G162="","",IF($G162&gt;0,$F162*$G162/100,$F162*100/ABS($G162)))))))</f>
        <v/>
      </c>
      <c r="L162" s="24">
        <f>IF(OR($H162="",$I162=""),"",IF($C162="Spread",$H162-$I162,IF($C162="Under",$H162-$I162,IF($C162="Over",$I162-$H162,IF($C162="ML",(IF($I162&gt;0,100/($I162+100),ABS($I162)/(ABS($I162)+100))-IF($H162&gt;0,100/($H162+100),ABS($H162)/(ABS($H162)+100)))*100,"")))))</f>
        <v/>
      </c>
    </row>
    <row r="163">
      <c r="A163" s="23" t="n"/>
      <c r="B163" s="15" t="n"/>
      <c r="C163" s="15" t="n"/>
      <c r="D163" s="15" t="n"/>
      <c r="E163" s="15" t="n"/>
      <c r="F163" s="17">
        <f>IF($E163="","",IF($E163="Lean",Dashboard!$B$4,IF($E163="Standard",Dashboard!$B$5,IF($E163="Max",Dashboard!$B$6,IF($E163="Parlay",Dashboard!$B$7,"")))))</f>
        <v/>
      </c>
      <c r="G163" s="15" t="n"/>
      <c r="H163" s="15" t="n"/>
      <c r="I163" s="15" t="n"/>
      <c r="J163" s="15" t="n"/>
      <c r="K163" s="17">
        <f>IF($J163="","",IF($J163="Pending","",IF($J163="P",0,IF($J163="L",-$F163,IF($G163="","",IF($G163&gt;0,$F163*$G163/100,$F163*100/ABS($G163)))))))</f>
        <v/>
      </c>
      <c r="L163" s="24">
        <f>IF(OR($H163="",$I163=""),"",IF($C163="Spread",$H163-$I163,IF($C163="Under",$H163-$I163,IF($C163="Over",$I163-$H163,IF($C163="ML",(IF($I163&gt;0,100/($I163+100),ABS($I163)/(ABS($I163)+100))-IF($H163&gt;0,100/($H163+100),ABS($H163)/(ABS($H163)+100)))*100,"")))))</f>
        <v/>
      </c>
    </row>
    <row r="164">
      <c r="A164" s="23" t="n"/>
      <c r="B164" s="15" t="n"/>
      <c r="C164" s="15" t="n"/>
      <c r="D164" s="15" t="n"/>
      <c r="E164" s="15" t="n"/>
      <c r="F164" s="17">
        <f>IF($E164="","",IF($E164="Lean",Dashboard!$B$4,IF($E164="Standard",Dashboard!$B$5,IF($E164="Max",Dashboard!$B$6,IF($E164="Parlay",Dashboard!$B$7,"")))))</f>
        <v/>
      </c>
      <c r="G164" s="15" t="n"/>
      <c r="H164" s="15" t="n"/>
      <c r="I164" s="15" t="n"/>
      <c r="J164" s="15" t="n"/>
      <c r="K164" s="17">
        <f>IF($J164="","",IF($J164="Pending","",IF($J164="P",0,IF($J164="L",-$F164,IF($G164="","",IF($G164&gt;0,$F164*$G164/100,$F164*100/ABS($G164)))))))</f>
        <v/>
      </c>
      <c r="L164" s="24">
        <f>IF(OR($H164="",$I164=""),"",IF($C164="Spread",$H164-$I164,IF($C164="Under",$H164-$I164,IF($C164="Over",$I164-$H164,IF($C164="ML",(IF($I164&gt;0,100/($I164+100),ABS($I164)/(ABS($I164)+100))-IF($H164&gt;0,100/($H164+100),ABS($H164)/(ABS($H164)+100)))*100,"")))))</f>
        <v/>
      </c>
    </row>
    <row r="165">
      <c r="A165" s="23" t="n"/>
      <c r="B165" s="15" t="n"/>
      <c r="C165" s="15" t="n"/>
      <c r="D165" s="15" t="n"/>
      <c r="E165" s="15" t="n"/>
      <c r="F165" s="17">
        <f>IF($E165="","",IF($E165="Lean",Dashboard!$B$4,IF($E165="Standard",Dashboard!$B$5,IF($E165="Max",Dashboard!$B$6,IF($E165="Parlay",Dashboard!$B$7,"")))))</f>
        <v/>
      </c>
      <c r="G165" s="15" t="n"/>
      <c r="H165" s="15" t="n"/>
      <c r="I165" s="15" t="n"/>
      <c r="J165" s="15" t="n"/>
      <c r="K165" s="17">
        <f>IF($J165="","",IF($J165="Pending","",IF($J165="P",0,IF($J165="L",-$F165,IF($G165="","",IF($G165&gt;0,$F165*$G165/100,$F165*100/ABS($G165)))))))</f>
        <v/>
      </c>
      <c r="L165" s="24">
        <f>IF(OR($H165="",$I165=""),"",IF($C165="Spread",$H165-$I165,IF($C165="Under",$H165-$I165,IF($C165="Over",$I165-$H165,IF($C165="ML",(IF($I165&gt;0,100/($I165+100),ABS($I165)/(ABS($I165)+100))-IF($H165&gt;0,100/($H165+100),ABS($H165)/(ABS($H165)+100)))*100,"")))))</f>
        <v/>
      </c>
    </row>
    <row r="166">
      <c r="A166" s="23" t="n"/>
      <c r="B166" s="15" t="n"/>
      <c r="C166" s="15" t="n"/>
      <c r="D166" s="15" t="n"/>
      <c r="E166" s="15" t="n"/>
      <c r="F166" s="17">
        <f>IF($E166="","",IF($E166="Lean",Dashboard!$B$4,IF($E166="Standard",Dashboard!$B$5,IF($E166="Max",Dashboard!$B$6,IF($E166="Parlay",Dashboard!$B$7,"")))))</f>
        <v/>
      </c>
      <c r="G166" s="15" t="n"/>
      <c r="H166" s="15" t="n"/>
      <c r="I166" s="15" t="n"/>
      <c r="J166" s="15" t="n"/>
      <c r="K166" s="17">
        <f>IF($J166="","",IF($J166="Pending","",IF($J166="P",0,IF($J166="L",-$F166,IF($G166="","",IF($G166&gt;0,$F166*$G166/100,$F166*100/ABS($G166)))))))</f>
        <v/>
      </c>
      <c r="L166" s="24">
        <f>IF(OR($H166="",$I166=""),"",IF($C166="Spread",$H166-$I166,IF($C166="Under",$H166-$I166,IF($C166="Over",$I166-$H166,IF($C166="ML",(IF($I166&gt;0,100/($I166+100),ABS($I166)/(ABS($I166)+100))-IF($H166&gt;0,100/($H166+100),ABS($H166)/(ABS($H166)+100)))*100,"")))))</f>
        <v/>
      </c>
    </row>
    <row r="167">
      <c r="A167" s="23" t="n"/>
      <c r="B167" s="15" t="n"/>
      <c r="C167" s="15" t="n"/>
      <c r="D167" s="15" t="n"/>
      <c r="E167" s="15" t="n"/>
      <c r="F167" s="17">
        <f>IF($E167="","",IF($E167="Lean",Dashboard!$B$4,IF($E167="Standard",Dashboard!$B$5,IF($E167="Max",Dashboard!$B$6,IF($E167="Parlay",Dashboard!$B$7,"")))))</f>
        <v/>
      </c>
      <c r="G167" s="15" t="n"/>
      <c r="H167" s="15" t="n"/>
      <c r="I167" s="15" t="n"/>
      <c r="J167" s="15" t="n"/>
      <c r="K167" s="17">
        <f>IF($J167="","",IF($J167="Pending","",IF($J167="P",0,IF($J167="L",-$F167,IF($G167="","",IF($G167&gt;0,$F167*$G167/100,$F167*100/ABS($G167)))))))</f>
        <v/>
      </c>
      <c r="L167" s="24">
        <f>IF(OR($H167="",$I167=""),"",IF($C167="Spread",$H167-$I167,IF($C167="Under",$H167-$I167,IF($C167="Over",$I167-$H167,IF($C167="ML",(IF($I167&gt;0,100/($I167+100),ABS($I167)/(ABS($I167)+100))-IF($H167&gt;0,100/($H167+100),ABS($H167)/(ABS($H167)+100)))*100,"")))))</f>
        <v/>
      </c>
    </row>
    <row r="168">
      <c r="A168" s="23" t="n"/>
      <c r="B168" s="15" t="n"/>
      <c r="C168" s="15" t="n"/>
      <c r="D168" s="15" t="n"/>
      <c r="E168" s="15" t="n"/>
      <c r="F168" s="17">
        <f>IF($E168="","",IF($E168="Lean",Dashboard!$B$4,IF($E168="Standard",Dashboard!$B$5,IF($E168="Max",Dashboard!$B$6,IF($E168="Parlay",Dashboard!$B$7,"")))))</f>
        <v/>
      </c>
      <c r="G168" s="15" t="n"/>
      <c r="H168" s="15" t="n"/>
      <c r="I168" s="15" t="n"/>
      <c r="J168" s="15" t="n"/>
      <c r="K168" s="17">
        <f>IF($J168="","",IF($J168="Pending","",IF($J168="P",0,IF($J168="L",-$F168,IF($G168="","",IF($G168&gt;0,$F168*$G168/100,$F168*100/ABS($G168)))))))</f>
        <v/>
      </c>
      <c r="L168" s="24">
        <f>IF(OR($H168="",$I168=""),"",IF($C168="Spread",$H168-$I168,IF($C168="Under",$H168-$I168,IF($C168="Over",$I168-$H168,IF($C168="ML",(IF($I168&gt;0,100/($I168+100),ABS($I168)/(ABS($I168)+100))-IF($H168&gt;0,100/($H168+100),ABS($H168)/(ABS($H168)+100)))*100,"")))))</f>
        <v/>
      </c>
    </row>
    <row r="169">
      <c r="A169" s="23" t="n"/>
      <c r="B169" s="15" t="n"/>
      <c r="C169" s="15" t="n"/>
      <c r="D169" s="15" t="n"/>
      <c r="E169" s="15" t="n"/>
      <c r="F169" s="17">
        <f>IF($E169="","",IF($E169="Lean",Dashboard!$B$4,IF($E169="Standard",Dashboard!$B$5,IF($E169="Max",Dashboard!$B$6,IF($E169="Parlay",Dashboard!$B$7,"")))))</f>
        <v/>
      </c>
      <c r="G169" s="15" t="n"/>
      <c r="H169" s="15" t="n"/>
      <c r="I169" s="15" t="n"/>
      <c r="J169" s="15" t="n"/>
      <c r="K169" s="17">
        <f>IF($J169="","",IF($J169="Pending","",IF($J169="P",0,IF($J169="L",-$F169,IF($G169="","",IF($G169&gt;0,$F169*$G169/100,$F169*100/ABS($G169)))))))</f>
        <v/>
      </c>
      <c r="L169" s="24">
        <f>IF(OR($H169="",$I169=""),"",IF($C169="Spread",$H169-$I169,IF($C169="Under",$H169-$I169,IF($C169="Over",$I169-$H169,IF($C169="ML",(IF($I169&gt;0,100/($I169+100),ABS($I169)/(ABS($I169)+100))-IF($H169&gt;0,100/($H169+100),ABS($H169)/(ABS($H169)+100)))*100,"")))))</f>
        <v/>
      </c>
    </row>
    <row r="170">
      <c r="A170" s="23" t="n"/>
      <c r="B170" s="15" t="n"/>
      <c r="C170" s="15" t="n"/>
      <c r="D170" s="15" t="n"/>
      <c r="E170" s="15" t="n"/>
      <c r="F170" s="17">
        <f>IF($E170="","",IF($E170="Lean",Dashboard!$B$4,IF($E170="Standard",Dashboard!$B$5,IF($E170="Max",Dashboard!$B$6,IF($E170="Parlay",Dashboard!$B$7,"")))))</f>
        <v/>
      </c>
      <c r="G170" s="15" t="n"/>
      <c r="H170" s="15" t="n"/>
      <c r="I170" s="15" t="n"/>
      <c r="J170" s="15" t="n"/>
      <c r="K170" s="17">
        <f>IF($J170="","",IF($J170="Pending","",IF($J170="P",0,IF($J170="L",-$F170,IF($G170="","",IF($G170&gt;0,$F170*$G170/100,$F170*100/ABS($G170)))))))</f>
        <v/>
      </c>
      <c r="L170" s="24">
        <f>IF(OR($H170="",$I170=""),"",IF($C170="Spread",$H170-$I170,IF($C170="Under",$H170-$I170,IF($C170="Over",$I170-$H170,IF($C170="ML",(IF($I170&gt;0,100/($I170+100),ABS($I170)/(ABS($I170)+100))-IF($H170&gt;0,100/($H170+100),ABS($H170)/(ABS($H170)+100)))*100,"")))))</f>
        <v/>
      </c>
    </row>
    <row r="171">
      <c r="A171" s="23" t="n"/>
      <c r="B171" s="15" t="n"/>
      <c r="C171" s="15" t="n"/>
      <c r="D171" s="15" t="n"/>
      <c r="E171" s="15" t="n"/>
      <c r="F171" s="17">
        <f>IF($E171="","",IF($E171="Lean",Dashboard!$B$4,IF($E171="Standard",Dashboard!$B$5,IF($E171="Max",Dashboard!$B$6,IF($E171="Parlay",Dashboard!$B$7,"")))))</f>
        <v/>
      </c>
      <c r="G171" s="15" t="n"/>
      <c r="H171" s="15" t="n"/>
      <c r="I171" s="15" t="n"/>
      <c r="J171" s="15" t="n"/>
      <c r="K171" s="17">
        <f>IF($J171="","",IF($J171="Pending","",IF($J171="P",0,IF($J171="L",-$F171,IF($G171="","",IF($G171&gt;0,$F171*$G171/100,$F171*100/ABS($G171)))))))</f>
        <v/>
      </c>
      <c r="L171" s="24">
        <f>IF(OR($H171="",$I171=""),"",IF($C171="Spread",$H171-$I171,IF($C171="Under",$H171-$I171,IF($C171="Over",$I171-$H171,IF($C171="ML",(IF($I171&gt;0,100/($I171+100),ABS($I171)/(ABS($I171)+100))-IF($H171&gt;0,100/($H171+100),ABS($H171)/(ABS($H171)+100)))*100,"")))))</f>
        <v/>
      </c>
    </row>
    <row r="172">
      <c r="A172" s="23" t="n"/>
      <c r="B172" s="15" t="n"/>
      <c r="C172" s="15" t="n"/>
      <c r="D172" s="15" t="n"/>
      <c r="E172" s="15" t="n"/>
      <c r="F172" s="17">
        <f>IF($E172="","",IF($E172="Lean",Dashboard!$B$4,IF($E172="Standard",Dashboard!$B$5,IF($E172="Max",Dashboard!$B$6,IF($E172="Parlay",Dashboard!$B$7,"")))))</f>
        <v/>
      </c>
      <c r="G172" s="15" t="n"/>
      <c r="H172" s="15" t="n"/>
      <c r="I172" s="15" t="n"/>
      <c r="J172" s="15" t="n"/>
      <c r="K172" s="17">
        <f>IF($J172="","",IF($J172="Pending","",IF($J172="P",0,IF($J172="L",-$F172,IF($G172="","",IF($G172&gt;0,$F172*$G172/100,$F172*100/ABS($G172)))))))</f>
        <v/>
      </c>
      <c r="L172" s="24">
        <f>IF(OR($H172="",$I172=""),"",IF($C172="Spread",$H172-$I172,IF($C172="Under",$H172-$I172,IF($C172="Over",$I172-$H172,IF($C172="ML",(IF($I172&gt;0,100/($I172+100),ABS($I172)/(ABS($I172)+100))-IF($H172&gt;0,100/($H172+100),ABS($H172)/(ABS($H172)+100)))*100,"")))))</f>
        <v/>
      </c>
    </row>
    <row r="173">
      <c r="A173" s="23" t="n"/>
      <c r="B173" s="15" t="n"/>
      <c r="C173" s="15" t="n"/>
      <c r="D173" s="15" t="n"/>
      <c r="E173" s="15" t="n"/>
      <c r="F173" s="17">
        <f>IF($E173="","",IF($E173="Lean",Dashboard!$B$4,IF($E173="Standard",Dashboard!$B$5,IF($E173="Max",Dashboard!$B$6,IF($E173="Parlay",Dashboard!$B$7,"")))))</f>
        <v/>
      </c>
      <c r="G173" s="15" t="n"/>
      <c r="H173" s="15" t="n"/>
      <c r="I173" s="15" t="n"/>
      <c r="J173" s="15" t="n"/>
      <c r="K173" s="17">
        <f>IF($J173="","",IF($J173="Pending","",IF($J173="P",0,IF($J173="L",-$F173,IF($G173="","",IF($G173&gt;0,$F173*$G173/100,$F173*100/ABS($G173)))))))</f>
        <v/>
      </c>
      <c r="L173" s="24">
        <f>IF(OR($H173="",$I173=""),"",IF($C173="Spread",$H173-$I173,IF($C173="Under",$H173-$I173,IF($C173="Over",$I173-$H173,IF($C173="ML",(IF($I173&gt;0,100/($I173+100),ABS($I173)/(ABS($I173)+100))-IF($H173&gt;0,100/($H173+100),ABS($H173)/(ABS($H173)+100)))*100,"")))))</f>
        <v/>
      </c>
    </row>
    <row r="174">
      <c r="A174" s="23" t="n"/>
      <c r="B174" s="15" t="n"/>
      <c r="C174" s="15" t="n"/>
      <c r="D174" s="15" t="n"/>
      <c r="E174" s="15" t="n"/>
      <c r="F174" s="17">
        <f>IF($E174="","",IF($E174="Lean",Dashboard!$B$4,IF($E174="Standard",Dashboard!$B$5,IF($E174="Max",Dashboard!$B$6,IF($E174="Parlay",Dashboard!$B$7,"")))))</f>
        <v/>
      </c>
      <c r="G174" s="15" t="n"/>
      <c r="H174" s="15" t="n"/>
      <c r="I174" s="15" t="n"/>
      <c r="J174" s="15" t="n"/>
      <c r="K174" s="17">
        <f>IF($J174="","",IF($J174="Pending","",IF($J174="P",0,IF($J174="L",-$F174,IF($G174="","",IF($G174&gt;0,$F174*$G174/100,$F174*100/ABS($G174)))))))</f>
        <v/>
      </c>
      <c r="L174" s="24">
        <f>IF(OR($H174="",$I174=""),"",IF($C174="Spread",$H174-$I174,IF($C174="Under",$H174-$I174,IF($C174="Over",$I174-$H174,IF($C174="ML",(IF($I174&gt;0,100/($I174+100),ABS($I174)/(ABS($I174)+100))-IF($H174&gt;0,100/($H174+100),ABS($H174)/(ABS($H174)+100)))*100,"")))))</f>
        <v/>
      </c>
    </row>
    <row r="175">
      <c r="A175" s="23" t="n"/>
      <c r="B175" s="15" t="n"/>
      <c r="C175" s="15" t="n"/>
      <c r="D175" s="15" t="n"/>
      <c r="E175" s="15" t="n"/>
      <c r="F175" s="17">
        <f>IF($E175="","",IF($E175="Lean",Dashboard!$B$4,IF($E175="Standard",Dashboard!$B$5,IF($E175="Max",Dashboard!$B$6,IF($E175="Parlay",Dashboard!$B$7,"")))))</f>
        <v/>
      </c>
      <c r="G175" s="15" t="n"/>
      <c r="H175" s="15" t="n"/>
      <c r="I175" s="15" t="n"/>
      <c r="J175" s="15" t="n"/>
      <c r="K175" s="17">
        <f>IF($J175="","",IF($J175="Pending","",IF($J175="P",0,IF($J175="L",-$F175,IF($G175="","",IF($G175&gt;0,$F175*$G175/100,$F175*100/ABS($G175)))))))</f>
        <v/>
      </c>
      <c r="L175" s="24">
        <f>IF(OR($H175="",$I175=""),"",IF($C175="Spread",$H175-$I175,IF($C175="Under",$H175-$I175,IF($C175="Over",$I175-$H175,IF($C175="ML",(IF($I175&gt;0,100/($I175+100),ABS($I175)/(ABS($I175)+100))-IF($H175&gt;0,100/($H175+100),ABS($H175)/(ABS($H175)+100)))*100,"")))))</f>
        <v/>
      </c>
    </row>
    <row r="176">
      <c r="A176" s="23" t="n"/>
      <c r="B176" s="15" t="n"/>
      <c r="C176" s="15" t="n"/>
      <c r="D176" s="15" t="n"/>
      <c r="E176" s="15" t="n"/>
      <c r="F176" s="17">
        <f>IF($E176="","",IF($E176="Lean",Dashboard!$B$4,IF($E176="Standard",Dashboard!$B$5,IF($E176="Max",Dashboard!$B$6,IF($E176="Parlay",Dashboard!$B$7,"")))))</f>
        <v/>
      </c>
      <c r="G176" s="15" t="n"/>
      <c r="H176" s="15" t="n"/>
      <c r="I176" s="15" t="n"/>
      <c r="J176" s="15" t="n"/>
      <c r="K176" s="17">
        <f>IF($J176="","",IF($J176="Pending","",IF($J176="P",0,IF($J176="L",-$F176,IF($G176="","",IF($G176&gt;0,$F176*$G176/100,$F176*100/ABS($G176)))))))</f>
        <v/>
      </c>
      <c r="L176" s="24">
        <f>IF(OR($H176="",$I176=""),"",IF($C176="Spread",$H176-$I176,IF($C176="Under",$H176-$I176,IF($C176="Over",$I176-$H176,IF($C176="ML",(IF($I176&gt;0,100/($I176+100),ABS($I176)/(ABS($I176)+100))-IF($H176&gt;0,100/($H176+100),ABS($H176)/(ABS($H176)+100)))*100,"")))))</f>
        <v/>
      </c>
    </row>
    <row r="177">
      <c r="A177" s="23" t="n"/>
      <c r="B177" s="15" t="n"/>
      <c r="C177" s="15" t="n"/>
      <c r="D177" s="15" t="n"/>
      <c r="E177" s="15" t="n"/>
      <c r="F177" s="17">
        <f>IF($E177="","",IF($E177="Lean",Dashboard!$B$4,IF($E177="Standard",Dashboard!$B$5,IF($E177="Max",Dashboard!$B$6,IF($E177="Parlay",Dashboard!$B$7,"")))))</f>
        <v/>
      </c>
      <c r="G177" s="15" t="n"/>
      <c r="H177" s="15" t="n"/>
      <c r="I177" s="15" t="n"/>
      <c r="J177" s="15" t="n"/>
      <c r="K177" s="17">
        <f>IF($J177="","",IF($J177="Pending","",IF($J177="P",0,IF($J177="L",-$F177,IF($G177="","",IF($G177&gt;0,$F177*$G177/100,$F177*100/ABS($G177)))))))</f>
        <v/>
      </c>
      <c r="L177" s="24">
        <f>IF(OR($H177="",$I177=""),"",IF($C177="Spread",$H177-$I177,IF($C177="Under",$H177-$I177,IF($C177="Over",$I177-$H177,IF($C177="ML",(IF($I177&gt;0,100/($I177+100),ABS($I177)/(ABS($I177)+100))-IF($H177&gt;0,100/($H177+100),ABS($H177)/(ABS($H177)+100)))*100,"")))))</f>
        <v/>
      </c>
    </row>
    <row r="178">
      <c r="A178" s="23" t="n"/>
      <c r="B178" s="15" t="n"/>
      <c r="C178" s="15" t="n"/>
      <c r="D178" s="15" t="n"/>
      <c r="E178" s="15" t="n"/>
      <c r="F178" s="17">
        <f>IF($E178="","",IF($E178="Lean",Dashboard!$B$4,IF($E178="Standard",Dashboard!$B$5,IF($E178="Max",Dashboard!$B$6,IF($E178="Parlay",Dashboard!$B$7,"")))))</f>
        <v/>
      </c>
      <c r="G178" s="15" t="n"/>
      <c r="H178" s="15" t="n"/>
      <c r="I178" s="15" t="n"/>
      <c r="J178" s="15" t="n"/>
      <c r="K178" s="17">
        <f>IF($J178="","",IF($J178="Pending","",IF($J178="P",0,IF($J178="L",-$F178,IF($G178="","",IF($G178&gt;0,$F178*$G178/100,$F178*100/ABS($G178)))))))</f>
        <v/>
      </c>
      <c r="L178" s="24">
        <f>IF(OR($H178="",$I178=""),"",IF($C178="Spread",$H178-$I178,IF($C178="Under",$H178-$I178,IF($C178="Over",$I178-$H178,IF($C178="ML",(IF($I178&gt;0,100/($I178+100),ABS($I178)/(ABS($I178)+100))-IF($H178&gt;0,100/($H178+100),ABS($H178)/(ABS($H178)+100)))*100,"")))))</f>
        <v/>
      </c>
    </row>
    <row r="179">
      <c r="A179" s="23" t="n"/>
      <c r="B179" s="15" t="n"/>
      <c r="C179" s="15" t="n"/>
      <c r="D179" s="15" t="n"/>
      <c r="E179" s="15" t="n"/>
      <c r="F179" s="17">
        <f>IF($E179="","",IF($E179="Lean",Dashboard!$B$4,IF($E179="Standard",Dashboard!$B$5,IF($E179="Max",Dashboard!$B$6,IF($E179="Parlay",Dashboard!$B$7,"")))))</f>
        <v/>
      </c>
      <c r="G179" s="15" t="n"/>
      <c r="H179" s="15" t="n"/>
      <c r="I179" s="15" t="n"/>
      <c r="J179" s="15" t="n"/>
      <c r="K179" s="17">
        <f>IF($J179="","",IF($J179="Pending","",IF($J179="P",0,IF($J179="L",-$F179,IF($G179="","",IF($G179&gt;0,$F179*$G179/100,$F179*100/ABS($G179)))))))</f>
        <v/>
      </c>
      <c r="L179" s="24">
        <f>IF(OR($H179="",$I179=""),"",IF($C179="Spread",$H179-$I179,IF($C179="Under",$H179-$I179,IF($C179="Over",$I179-$H179,IF($C179="ML",(IF($I179&gt;0,100/($I179+100),ABS($I179)/(ABS($I179)+100))-IF($H179&gt;0,100/($H179+100),ABS($H179)/(ABS($H179)+100)))*100,"")))))</f>
        <v/>
      </c>
    </row>
    <row r="180">
      <c r="A180" s="23" t="n"/>
      <c r="B180" s="15" t="n"/>
      <c r="C180" s="15" t="n"/>
      <c r="D180" s="15" t="n"/>
      <c r="E180" s="15" t="n"/>
      <c r="F180" s="17">
        <f>IF($E180="","",IF($E180="Lean",Dashboard!$B$4,IF($E180="Standard",Dashboard!$B$5,IF($E180="Max",Dashboard!$B$6,IF($E180="Parlay",Dashboard!$B$7,"")))))</f>
        <v/>
      </c>
      <c r="G180" s="15" t="n"/>
      <c r="H180" s="15" t="n"/>
      <c r="I180" s="15" t="n"/>
      <c r="J180" s="15" t="n"/>
      <c r="K180" s="17">
        <f>IF($J180="","",IF($J180="Pending","",IF($J180="P",0,IF($J180="L",-$F180,IF($G180="","",IF($G180&gt;0,$F180*$G180/100,$F180*100/ABS($G180)))))))</f>
        <v/>
      </c>
      <c r="L180" s="24">
        <f>IF(OR($H180="",$I180=""),"",IF($C180="Spread",$H180-$I180,IF($C180="Under",$H180-$I180,IF($C180="Over",$I180-$H180,IF($C180="ML",(IF($I180&gt;0,100/($I180+100),ABS($I180)/(ABS($I180)+100))-IF($H180&gt;0,100/($H180+100),ABS($H180)/(ABS($H180)+100)))*100,"")))))</f>
        <v/>
      </c>
    </row>
    <row r="181">
      <c r="A181" s="23" t="n"/>
      <c r="B181" s="15" t="n"/>
      <c r="C181" s="15" t="n"/>
      <c r="D181" s="15" t="n"/>
      <c r="E181" s="15" t="n"/>
      <c r="F181" s="17">
        <f>IF($E181="","",IF($E181="Lean",Dashboard!$B$4,IF($E181="Standard",Dashboard!$B$5,IF($E181="Max",Dashboard!$B$6,IF($E181="Parlay",Dashboard!$B$7,"")))))</f>
        <v/>
      </c>
      <c r="G181" s="15" t="n"/>
      <c r="H181" s="15" t="n"/>
      <c r="I181" s="15" t="n"/>
      <c r="J181" s="15" t="n"/>
      <c r="K181" s="17">
        <f>IF($J181="","",IF($J181="Pending","",IF($J181="P",0,IF($J181="L",-$F181,IF($G181="","",IF($G181&gt;0,$F181*$G181/100,$F181*100/ABS($G181)))))))</f>
        <v/>
      </c>
      <c r="L181" s="24">
        <f>IF(OR($H181="",$I181=""),"",IF($C181="Spread",$H181-$I181,IF($C181="Under",$H181-$I181,IF($C181="Over",$I181-$H181,IF($C181="ML",(IF($I181&gt;0,100/($I181+100),ABS($I181)/(ABS($I181)+100))-IF($H181&gt;0,100/($H181+100),ABS($H181)/(ABS($H181)+100)))*100,"")))))</f>
        <v/>
      </c>
    </row>
    <row r="182">
      <c r="A182" s="23" t="n"/>
      <c r="B182" s="15" t="n"/>
      <c r="C182" s="15" t="n"/>
      <c r="D182" s="15" t="n"/>
      <c r="E182" s="15" t="n"/>
      <c r="F182" s="17">
        <f>IF($E182="","",IF($E182="Lean",Dashboard!$B$4,IF($E182="Standard",Dashboard!$B$5,IF($E182="Max",Dashboard!$B$6,IF($E182="Parlay",Dashboard!$B$7,"")))))</f>
        <v/>
      </c>
      <c r="G182" s="15" t="n"/>
      <c r="H182" s="15" t="n"/>
      <c r="I182" s="15" t="n"/>
      <c r="J182" s="15" t="n"/>
      <c r="K182" s="17">
        <f>IF($J182="","",IF($J182="Pending","",IF($J182="P",0,IF($J182="L",-$F182,IF($G182="","",IF($G182&gt;0,$F182*$G182/100,$F182*100/ABS($G182)))))))</f>
        <v/>
      </c>
      <c r="L182" s="24">
        <f>IF(OR($H182="",$I182=""),"",IF($C182="Spread",$H182-$I182,IF($C182="Under",$H182-$I182,IF($C182="Over",$I182-$H182,IF($C182="ML",(IF($I182&gt;0,100/($I182+100),ABS($I182)/(ABS($I182)+100))-IF($H182&gt;0,100/($H182+100),ABS($H182)/(ABS($H182)+100)))*100,"")))))</f>
        <v/>
      </c>
    </row>
    <row r="183">
      <c r="A183" s="23" t="n"/>
      <c r="B183" s="15" t="n"/>
      <c r="C183" s="15" t="n"/>
      <c r="D183" s="15" t="n"/>
      <c r="E183" s="15" t="n"/>
      <c r="F183" s="17">
        <f>IF($E183="","",IF($E183="Lean",Dashboard!$B$4,IF($E183="Standard",Dashboard!$B$5,IF($E183="Max",Dashboard!$B$6,IF($E183="Parlay",Dashboard!$B$7,"")))))</f>
        <v/>
      </c>
      <c r="G183" s="15" t="n"/>
      <c r="H183" s="15" t="n"/>
      <c r="I183" s="15" t="n"/>
      <c r="J183" s="15" t="n"/>
      <c r="K183" s="17">
        <f>IF($J183="","",IF($J183="Pending","",IF($J183="P",0,IF($J183="L",-$F183,IF($G183="","",IF($G183&gt;0,$F183*$G183/100,$F183*100/ABS($G183)))))))</f>
        <v/>
      </c>
      <c r="L183" s="24">
        <f>IF(OR($H183="",$I183=""),"",IF($C183="Spread",$H183-$I183,IF($C183="Under",$H183-$I183,IF($C183="Over",$I183-$H183,IF($C183="ML",(IF($I183&gt;0,100/($I183+100),ABS($I183)/(ABS($I183)+100))-IF($H183&gt;0,100/($H183+100),ABS($H183)/(ABS($H183)+100)))*100,"")))))</f>
        <v/>
      </c>
    </row>
    <row r="184">
      <c r="A184" s="23" t="n"/>
      <c r="B184" s="15" t="n"/>
      <c r="C184" s="15" t="n"/>
      <c r="D184" s="15" t="n"/>
      <c r="E184" s="15" t="n"/>
      <c r="F184" s="17">
        <f>IF($E184="","",IF($E184="Lean",Dashboard!$B$4,IF($E184="Standard",Dashboard!$B$5,IF($E184="Max",Dashboard!$B$6,IF($E184="Parlay",Dashboard!$B$7,"")))))</f>
        <v/>
      </c>
      <c r="G184" s="15" t="n"/>
      <c r="H184" s="15" t="n"/>
      <c r="I184" s="15" t="n"/>
      <c r="J184" s="15" t="n"/>
      <c r="K184" s="17">
        <f>IF($J184="","",IF($J184="Pending","",IF($J184="P",0,IF($J184="L",-$F184,IF($G184="","",IF($G184&gt;0,$F184*$G184/100,$F184*100/ABS($G184)))))))</f>
        <v/>
      </c>
      <c r="L184" s="24">
        <f>IF(OR($H184="",$I184=""),"",IF($C184="Spread",$H184-$I184,IF($C184="Under",$H184-$I184,IF($C184="Over",$I184-$H184,IF($C184="ML",(IF($I184&gt;0,100/($I184+100),ABS($I184)/(ABS($I184)+100))-IF($H184&gt;0,100/($H184+100),ABS($H184)/(ABS($H184)+100)))*100,"")))))</f>
        <v/>
      </c>
    </row>
    <row r="185">
      <c r="A185" s="23" t="n"/>
      <c r="B185" s="15" t="n"/>
      <c r="C185" s="15" t="n"/>
      <c r="D185" s="15" t="n"/>
      <c r="E185" s="15" t="n"/>
      <c r="F185" s="17">
        <f>IF($E185="","",IF($E185="Lean",Dashboard!$B$4,IF($E185="Standard",Dashboard!$B$5,IF($E185="Max",Dashboard!$B$6,IF($E185="Parlay",Dashboard!$B$7,"")))))</f>
        <v/>
      </c>
      <c r="G185" s="15" t="n"/>
      <c r="H185" s="15" t="n"/>
      <c r="I185" s="15" t="n"/>
      <c r="J185" s="15" t="n"/>
      <c r="K185" s="17">
        <f>IF($J185="","",IF($J185="Pending","",IF($J185="P",0,IF($J185="L",-$F185,IF($G185="","",IF($G185&gt;0,$F185*$G185/100,$F185*100/ABS($G185)))))))</f>
        <v/>
      </c>
      <c r="L185" s="24">
        <f>IF(OR($H185="",$I185=""),"",IF($C185="Spread",$H185-$I185,IF($C185="Under",$H185-$I185,IF($C185="Over",$I185-$H185,IF($C185="ML",(IF($I185&gt;0,100/($I185+100),ABS($I185)/(ABS($I185)+100))-IF($H185&gt;0,100/($H185+100),ABS($H185)/(ABS($H185)+100)))*100,"")))))</f>
        <v/>
      </c>
    </row>
    <row r="186">
      <c r="A186" s="23" t="n"/>
      <c r="B186" s="15" t="n"/>
      <c r="C186" s="15" t="n"/>
      <c r="D186" s="15" t="n"/>
      <c r="E186" s="15" t="n"/>
      <c r="F186" s="17">
        <f>IF($E186="","",IF($E186="Lean",Dashboard!$B$4,IF($E186="Standard",Dashboard!$B$5,IF($E186="Max",Dashboard!$B$6,IF($E186="Parlay",Dashboard!$B$7,"")))))</f>
        <v/>
      </c>
      <c r="G186" s="15" t="n"/>
      <c r="H186" s="15" t="n"/>
      <c r="I186" s="15" t="n"/>
      <c r="J186" s="15" t="n"/>
      <c r="K186" s="17">
        <f>IF($J186="","",IF($J186="Pending","",IF($J186="P",0,IF($J186="L",-$F186,IF($G186="","",IF($G186&gt;0,$F186*$G186/100,$F186*100/ABS($G186)))))))</f>
        <v/>
      </c>
      <c r="L186" s="24">
        <f>IF(OR($H186="",$I186=""),"",IF($C186="Spread",$H186-$I186,IF($C186="Under",$H186-$I186,IF($C186="Over",$I186-$H186,IF($C186="ML",(IF($I186&gt;0,100/($I186+100),ABS($I186)/(ABS($I186)+100))-IF($H186&gt;0,100/($H186+100),ABS($H186)/(ABS($H186)+100)))*100,"")))))</f>
        <v/>
      </c>
    </row>
    <row r="187">
      <c r="A187" s="23" t="n"/>
      <c r="B187" s="15" t="n"/>
      <c r="C187" s="15" t="n"/>
      <c r="D187" s="15" t="n"/>
      <c r="E187" s="15" t="n"/>
      <c r="F187" s="17">
        <f>IF($E187="","",IF($E187="Lean",Dashboard!$B$4,IF($E187="Standard",Dashboard!$B$5,IF($E187="Max",Dashboard!$B$6,IF($E187="Parlay",Dashboard!$B$7,"")))))</f>
        <v/>
      </c>
      <c r="G187" s="15" t="n"/>
      <c r="H187" s="15" t="n"/>
      <c r="I187" s="15" t="n"/>
      <c r="J187" s="15" t="n"/>
      <c r="K187" s="17">
        <f>IF($J187="","",IF($J187="Pending","",IF($J187="P",0,IF($J187="L",-$F187,IF($G187="","",IF($G187&gt;0,$F187*$G187/100,$F187*100/ABS($G187)))))))</f>
        <v/>
      </c>
      <c r="L187" s="24">
        <f>IF(OR($H187="",$I187=""),"",IF($C187="Spread",$H187-$I187,IF($C187="Under",$H187-$I187,IF($C187="Over",$I187-$H187,IF($C187="ML",(IF($I187&gt;0,100/($I187+100),ABS($I187)/(ABS($I187)+100))-IF($H187&gt;0,100/($H187+100),ABS($H187)/(ABS($H187)+100)))*100,"")))))</f>
        <v/>
      </c>
    </row>
    <row r="188">
      <c r="A188" s="23" t="n"/>
      <c r="B188" s="15" t="n"/>
      <c r="C188" s="15" t="n"/>
      <c r="D188" s="15" t="n"/>
      <c r="E188" s="15" t="n"/>
      <c r="F188" s="17">
        <f>IF($E188="","",IF($E188="Lean",Dashboard!$B$4,IF($E188="Standard",Dashboard!$B$5,IF($E188="Max",Dashboard!$B$6,IF($E188="Parlay",Dashboard!$B$7,"")))))</f>
        <v/>
      </c>
      <c r="G188" s="15" t="n"/>
      <c r="H188" s="15" t="n"/>
      <c r="I188" s="15" t="n"/>
      <c r="J188" s="15" t="n"/>
      <c r="K188" s="17">
        <f>IF($J188="","",IF($J188="Pending","",IF($J188="P",0,IF($J188="L",-$F188,IF($G188="","",IF($G188&gt;0,$F188*$G188/100,$F188*100/ABS($G188)))))))</f>
        <v/>
      </c>
      <c r="L188" s="24">
        <f>IF(OR($H188="",$I188=""),"",IF($C188="Spread",$H188-$I188,IF($C188="Under",$H188-$I188,IF($C188="Over",$I188-$H188,IF($C188="ML",(IF($I188&gt;0,100/($I188+100),ABS($I188)/(ABS($I188)+100))-IF($H188&gt;0,100/($H188+100),ABS($H188)/(ABS($H188)+100)))*100,"")))))</f>
        <v/>
      </c>
    </row>
    <row r="189">
      <c r="A189" s="23" t="n"/>
      <c r="B189" s="15" t="n"/>
      <c r="C189" s="15" t="n"/>
      <c r="D189" s="15" t="n"/>
      <c r="E189" s="15" t="n"/>
      <c r="F189" s="17">
        <f>IF($E189="","",IF($E189="Lean",Dashboard!$B$4,IF($E189="Standard",Dashboard!$B$5,IF($E189="Max",Dashboard!$B$6,IF($E189="Parlay",Dashboard!$B$7,"")))))</f>
        <v/>
      </c>
      <c r="G189" s="15" t="n"/>
      <c r="H189" s="15" t="n"/>
      <c r="I189" s="15" t="n"/>
      <c r="J189" s="15" t="n"/>
      <c r="K189" s="17">
        <f>IF($J189="","",IF($J189="Pending","",IF($J189="P",0,IF($J189="L",-$F189,IF($G189="","",IF($G189&gt;0,$F189*$G189/100,$F189*100/ABS($G189)))))))</f>
        <v/>
      </c>
      <c r="L189" s="24">
        <f>IF(OR($H189="",$I189=""),"",IF($C189="Spread",$H189-$I189,IF($C189="Under",$H189-$I189,IF($C189="Over",$I189-$H189,IF($C189="ML",(IF($I189&gt;0,100/($I189+100),ABS($I189)/(ABS($I189)+100))-IF($H189&gt;0,100/($H189+100),ABS($H189)/(ABS($H189)+100)))*100,"")))))</f>
        <v/>
      </c>
    </row>
    <row r="190">
      <c r="A190" s="23" t="n"/>
      <c r="B190" s="15" t="n"/>
      <c r="C190" s="15" t="n"/>
      <c r="D190" s="15" t="n"/>
      <c r="E190" s="15" t="n"/>
      <c r="F190" s="17">
        <f>IF($E190="","",IF($E190="Lean",Dashboard!$B$4,IF($E190="Standard",Dashboard!$B$5,IF($E190="Max",Dashboard!$B$6,IF($E190="Parlay",Dashboard!$B$7,"")))))</f>
        <v/>
      </c>
      <c r="G190" s="15" t="n"/>
      <c r="H190" s="15" t="n"/>
      <c r="I190" s="15" t="n"/>
      <c r="J190" s="15" t="n"/>
      <c r="K190" s="17">
        <f>IF($J190="","",IF($J190="Pending","",IF($J190="P",0,IF($J190="L",-$F190,IF($G190="","",IF($G190&gt;0,$F190*$G190/100,$F190*100/ABS($G190)))))))</f>
        <v/>
      </c>
      <c r="L190" s="24">
        <f>IF(OR($H190="",$I190=""),"",IF($C190="Spread",$H190-$I190,IF($C190="Under",$H190-$I190,IF($C190="Over",$I190-$H190,IF($C190="ML",(IF($I190&gt;0,100/($I190+100),ABS($I190)/(ABS($I190)+100))-IF($H190&gt;0,100/($H190+100),ABS($H190)/(ABS($H190)+100)))*100,"")))))</f>
        <v/>
      </c>
    </row>
    <row r="191">
      <c r="A191" s="23" t="n"/>
      <c r="B191" s="15" t="n"/>
      <c r="C191" s="15" t="n"/>
      <c r="D191" s="15" t="n"/>
      <c r="E191" s="15" t="n"/>
      <c r="F191" s="17">
        <f>IF($E191="","",IF($E191="Lean",Dashboard!$B$4,IF($E191="Standard",Dashboard!$B$5,IF($E191="Max",Dashboard!$B$6,IF($E191="Parlay",Dashboard!$B$7,"")))))</f>
        <v/>
      </c>
      <c r="G191" s="15" t="n"/>
      <c r="H191" s="15" t="n"/>
      <c r="I191" s="15" t="n"/>
      <c r="J191" s="15" t="n"/>
      <c r="K191" s="17">
        <f>IF($J191="","",IF($J191="Pending","",IF($J191="P",0,IF($J191="L",-$F191,IF($G191="","",IF($G191&gt;0,$F191*$G191/100,$F191*100/ABS($G191)))))))</f>
        <v/>
      </c>
      <c r="L191" s="24">
        <f>IF(OR($H191="",$I191=""),"",IF($C191="Spread",$H191-$I191,IF($C191="Under",$H191-$I191,IF($C191="Over",$I191-$H191,IF($C191="ML",(IF($I191&gt;0,100/($I191+100),ABS($I191)/(ABS($I191)+100))-IF($H191&gt;0,100/($H191+100),ABS($H191)/(ABS($H191)+100)))*100,"")))))</f>
        <v/>
      </c>
    </row>
    <row r="192">
      <c r="A192" s="23" t="n"/>
      <c r="B192" s="15" t="n"/>
      <c r="C192" s="15" t="n"/>
      <c r="D192" s="15" t="n"/>
      <c r="E192" s="15" t="n"/>
      <c r="F192" s="17">
        <f>IF($E192="","",IF($E192="Lean",Dashboard!$B$4,IF($E192="Standard",Dashboard!$B$5,IF($E192="Max",Dashboard!$B$6,IF($E192="Parlay",Dashboard!$B$7,"")))))</f>
        <v/>
      </c>
      <c r="G192" s="15" t="n"/>
      <c r="H192" s="15" t="n"/>
      <c r="I192" s="15" t="n"/>
      <c r="J192" s="15" t="n"/>
      <c r="K192" s="17">
        <f>IF($J192="","",IF($J192="Pending","",IF($J192="P",0,IF($J192="L",-$F192,IF($G192="","",IF($G192&gt;0,$F192*$G192/100,$F192*100/ABS($G192)))))))</f>
        <v/>
      </c>
      <c r="L192" s="24">
        <f>IF(OR($H192="",$I192=""),"",IF($C192="Spread",$H192-$I192,IF($C192="Under",$H192-$I192,IF($C192="Over",$I192-$H192,IF($C192="ML",(IF($I192&gt;0,100/($I192+100),ABS($I192)/(ABS($I192)+100))-IF($H192&gt;0,100/($H192+100),ABS($H192)/(ABS($H192)+100)))*100,"")))))</f>
        <v/>
      </c>
    </row>
    <row r="193">
      <c r="A193" s="23" t="n"/>
      <c r="B193" s="15" t="n"/>
      <c r="C193" s="15" t="n"/>
      <c r="D193" s="15" t="n"/>
      <c r="E193" s="15" t="n"/>
      <c r="F193" s="17">
        <f>IF($E193="","",IF($E193="Lean",Dashboard!$B$4,IF($E193="Standard",Dashboard!$B$5,IF($E193="Max",Dashboard!$B$6,IF($E193="Parlay",Dashboard!$B$7,"")))))</f>
        <v/>
      </c>
      <c r="G193" s="15" t="n"/>
      <c r="H193" s="15" t="n"/>
      <c r="I193" s="15" t="n"/>
      <c r="J193" s="15" t="n"/>
      <c r="K193" s="17">
        <f>IF($J193="","",IF($J193="Pending","",IF($J193="P",0,IF($J193="L",-$F193,IF($G193="","",IF($G193&gt;0,$F193*$G193/100,$F193*100/ABS($G193)))))))</f>
        <v/>
      </c>
      <c r="L193" s="24">
        <f>IF(OR($H193="",$I193=""),"",IF($C193="Spread",$H193-$I193,IF($C193="Under",$H193-$I193,IF($C193="Over",$I193-$H193,IF($C193="ML",(IF($I193&gt;0,100/($I193+100),ABS($I193)/(ABS($I193)+100))-IF($H193&gt;0,100/($H193+100),ABS($H193)/(ABS($H193)+100)))*100,"")))))</f>
        <v/>
      </c>
    </row>
    <row r="194">
      <c r="A194" s="23" t="n"/>
      <c r="B194" s="15" t="n"/>
      <c r="C194" s="15" t="n"/>
      <c r="D194" s="15" t="n"/>
      <c r="E194" s="15" t="n"/>
      <c r="F194" s="17">
        <f>IF($E194="","",IF($E194="Lean",Dashboard!$B$4,IF($E194="Standard",Dashboard!$B$5,IF($E194="Max",Dashboard!$B$6,IF($E194="Parlay",Dashboard!$B$7,"")))))</f>
        <v/>
      </c>
      <c r="G194" s="15" t="n"/>
      <c r="H194" s="15" t="n"/>
      <c r="I194" s="15" t="n"/>
      <c r="J194" s="15" t="n"/>
      <c r="K194" s="17">
        <f>IF($J194="","",IF($J194="Pending","",IF($J194="P",0,IF($J194="L",-$F194,IF($G194="","",IF($G194&gt;0,$F194*$G194/100,$F194*100/ABS($G194)))))))</f>
        <v/>
      </c>
      <c r="L194" s="24">
        <f>IF(OR($H194="",$I194=""),"",IF($C194="Spread",$H194-$I194,IF($C194="Under",$H194-$I194,IF($C194="Over",$I194-$H194,IF($C194="ML",(IF($I194&gt;0,100/($I194+100),ABS($I194)/(ABS($I194)+100))-IF($H194&gt;0,100/($H194+100),ABS($H194)/(ABS($H194)+100)))*100,"")))))</f>
        <v/>
      </c>
    </row>
    <row r="195">
      <c r="A195" s="23" t="n"/>
      <c r="B195" s="15" t="n"/>
      <c r="C195" s="15" t="n"/>
      <c r="D195" s="15" t="n"/>
      <c r="E195" s="15" t="n"/>
      <c r="F195" s="17">
        <f>IF($E195="","",IF($E195="Lean",Dashboard!$B$4,IF($E195="Standard",Dashboard!$B$5,IF($E195="Max",Dashboard!$B$6,IF($E195="Parlay",Dashboard!$B$7,"")))))</f>
        <v/>
      </c>
      <c r="G195" s="15" t="n"/>
      <c r="H195" s="15" t="n"/>
      <c r="I195" s="15" t="n"/>
      <c r="J195" s="15" t="n"/>
      <c r="K195" s="17">
        <f>IF($J195="","",IF($J195="Pending","",IF($J195="P",0,IF($J195="L",-$F195,IF($G195="","",IF($G195&gt;0,$F195*$G195/100,$F195*100/ABS($G195)))))))</f>
        <v/>
      </c>
      <c r="L195" s="24">
        <f>IF(OR($H195="",$I195=""),"",IF($C195="Spread",$H195-$I195,IF($C195="Under",$H195-$I195,IF($C195="Over",$I195-$H195,IF($C195="ML",(IF($I195&gt;0,100/($I195+100),ABS($I195)/(ABS($I195)+100))-IF($H195&gt;0,100/($H195+100),ABS($H195)/(ABS($H195)+100)))*100,"")))))</f>
        <v/>
      </c>
    </row>
    <row r="196">
      <c r="A196" s="23" t="n"/>
      <c r="B196" s="15" t="n"/>
      <c r="C196" s="15" t="n"/>
      <c r="D196" s="15" t="n"/>
      <c r="E196" s="15" t="n"/>
      <c r="F196" s="17">
        <f>IF($E196="","",IF($E196="Lean",Dashboard!$B$4,IF($E196="Standard",Dashboard!$B$5,IF($E196="Max",Dashboard!$B$6,IF($E196="Parlay",Dashboard!$B$7,"")))))</f>
        <v/>
      </c>
      <c r="G196" s="15" t="n"/>
      <c r="H196" s="15" t="n"/>
      <c r="I196" s="15" t="n"/>
      <c r="J196" s="15" t="n"/>
      <c r="K196" s="17">
        <f>IF($J196="","",IF($J196="Pending","",IF($J196="P",0,IF($J196="L",-$F196,IF($G196="","",IF($G196&gt;0,$F196*$G196/100,$F196*100/ABS($G196)))))))</f>
        <v/>
      </c>
      <c r="L196" s="24">
        <f>IF(OR($H196="",$I196=""),"",IF($C196="Spread",$H196-$I196,IF($C196="Under",$H196-$I196,IF($C196="Over",$I196-$H196,IF($C196="ML",(IF($I196&gt;0,100/($I196+100),ABS($I196)/(ABS($I196)+100))-IF($H196&gt;0,100/($H196+100),ABS($H196)/(ABS($H196)+100)))*100,"")))))</f>
        <v/>
      </c>
    </row>
    <row r="197">
      <c r="A197" s="23" t="n"/>
      <c r="B197" s="15" t="n"/>
      <c r="C197" s="15" t="n"/>
      <c r="D197" s="15" t="n"/>
      <c r="E197" s="15" t="n"/>
      <c r="F197" s="17">
        <f>IF($E197="","",IF($E197="Lean",Dashboard!$B$4,IF($E197="Standard",Dashboard!$B$5,IF($E197="Max",Dashboard!$B$6,IF($E197="Parlay",Dashboard!$B$7,"")))))</f>
        <v/>
      </c>
      <c r="G197" s="15" t="n"/>
      <c r="H197" s="15" t="n"/>
      <c r="I197" s="15" t="n"/>
      <c r="J197" s="15" t="n"/>
      <c r="K197" s="17">
        <f>IF($J197="","",IF($J197="Pending","",IF($J197="P",0,IF($J197="L",-$F197,IF($G197="","",IF($G197&gt;0,$F197*$G197/100,$F197*100/ABS($G197)))))))</f>
        <v/>
      </c>
      <c r="L197" s="24">
        <f>IF(OR($H197="",$I197=""),"",IF($C197="Spread",$H197-$I197,IF($C197="Under",$H197-$I197,IF($C197="Over",$I197-$H197,IF($C197="ML",(IF($I197&gt;0,100/($I197+100),ABS($I197)/(ABS($I197)+100))-IF($H197&gt;0,100/($H197+100),ABS($H197)/(ABS($H197)+100)))*100,"")))))</f>
        <v/>
      </c>
    </row>
    <row r="198">
      <c r="A198" s="23" t="n"/>
      <c r="B198" s="15" t="n"/>
      <c r="C198" s="15" t="n"/>
      <c r="D198" s="15" t="n"/>
      <c r="E198" s="15" t="n"/>
      <c r="F198" s="17">
        <f>IF($E198="","",IF($E198="Lean",Dashboard!$B$4,IF($E198="Standard",Dashboard!$B$5,IF($E198="Max",Dashboard!$B$6,IF($E198="Parlay",Dashboard!$B$7,"")))))</f>
        <v/>
      </c>
      <c r="G198" s="15" t="n"/>
      <c r="H198" s="15" t="n"/>
      <c r="I198" s="15" t="n"/>
      <c r="J198" s="15" t="n"/>
      <c r="K198" s="17">
        <f>IF($J198="","",IF($J198="Pending","",IF($J198="P",0,IF($J198="L",-$F198,IF($G198="","",IF($G198&gt;0,$F198*$G198/100,$F198*100/ABS($G198)))))))</f>
        <v/>
      </c>
      <c r="L198" s="24">
        <f>IF(OR($H198="",$I198=""),"",IF($C198="Spread",$H198-$I198,IF($C198="Under",$H198-$I198,IF($C198="Over",$I198-$H198,IF($C198="ML",(IF($I198&gt;0,100/($I198+100),ABS($I198)/(ABS($I198)+100))-IF($H198&gt;0,100/($H198+100),ABS($H198)/(ABS($H198)+100)))*100,"")))))</f>
        <v/>
      </c>
    </row>
    <row r="199">
      <c r="A199" s="23" t="n"/>
      <c r="B199" s="15" t="n"/>
      <c r="C199" s="15" t="n"/>
      <c r="D199" s="15" t="n"/>
      <c r="E199" s="15" t="n"/>
      <c r="F199" s="17">
        <f>IF($E199="","",IF($E199="Lean",Dashboard!$B$4,IF($E199="Standard",Dashboard!$B$5,IF($E199="Max",Dashboard!$B$6,IF($E199="Parlay",Dashboard!$B$7,"")))))</f>
        <v/>
      </c>
      <c r="G199" s="15" t="n"/>
      <c r="H199" s="15" t="n"/>
      <c r="I199" s="15" t="n"/>
      <c r="J199" s="15" t="n"/>
      <c r="K199" s="17">
        <f>IF($J199="","",IF($J199="Pending","",IF($J199="P",0,IF($J199="L",-$F199,IF($G199="","",IF($G199&gt;0,$F199*$G199/100,$F199*100/ABS($G199)))))))</f>
        <v/>
      </c>
      <c r="L199" s="24">
        <f>IF(OR($H199="",$I199=""),"",IF($C199="Spread",$H199-$I199,IF($C199="Under",$H199-$I199,IF($C199="Over",$I199-$H199,IF($C199="ML",(IF($I199&gt;0,100/($I199+100),ABS($I199)/(ABS($I199)+100))-IF($H199&gt;0,100/($H199+100),ABS($H199)/(ABS($H199)+100)))*100,"")))))</f>
        <v/>
      </c>
    </row>
    <row r="200">
      <c r="A200" s="23" t="n"/>
      <c r="B200" s="15" t="n"/>
      <c r="C200" s="15" t="n"/>
      <c r="D200" s="15" t="n"/>
      <c r="E200" s="15" t="n"/>
      <c r="F200" s="17">
        <f>IF($E200="","",IF($E200="Lean",Dashboard!$B$4,IF($E200="Standard",Dashboard!$B$5,IF($E200="Max",Dashboard!$B$6,IF($E200="Parlay",Dashboard!$B$7,"")))))</f>
        <v/>
      </c>
      <c r="G200" s="15" t="n"/>
      <c r="H200" s="15" t="n"/>
      <c r="I200" s="15" t="n"/>
      <c r="J200" s="15" t="n"/>
      <c r="K200" s="17">
        <f>IF($J200="","",IF($J200="Pending","",IF($J200="P",0,IF($J200="L",-$F200,IF($G200="","",IF($G200&gt;0,$F200*$G200/100,$F200*100/ABS($G200)))))))</f>
        <v/>
      </c>
      <c r="L200" s="24">
        <f>IF(OR($H200="",$I200=""),"",IF($C200="Spread",$H200-$I200,IF($C200="Under",$H200-$I200,IF($C200="Over",$I200-$H200,IF($C200="ML",(IF($I200&gt;0,100/($I200+100),ABS($I200)/(ABS($I200)+100))-IF($H200&gt;0,100/($H200+100),ABS($H200)/(ABS($H200)+100)))*100,"")))))</f>
        <v/>
      </c>
    </row>
    <row r="201">
      <c r="A201" s="23" t="n"/>
      <c r="B201" s="15" t="n"/>
      <c r="C201" s="15" t="n"/>
      <c r="D201" s="15" t="n"/>
      <c r="E201" s="15" t="n"/>
      <c r="F201" s="17">
        <f>IF($E201="","",IF($E201="Lean",Dashboard!$B$4,IF($E201="Standard",Dashboard!$B$5,IF($E201="Max",Dashboard!$B$6,IF($E201="Parlay",Dashboard!$B$7,"")))))</f>
        <v/>
      </c>
      <c r="G201" s="15" t="n"/>
      <c r="H201" s="15" t="n"/>
      <c r="I201" s="15" t="n"/>
      <c r="J201" s="15" t="n"/>
      <c r="K201" s="17">
        <f>IF($J201="","",IF($J201="Pending","",IF($J201="P",0,IF($J201="L",-$F201,IF($G201="","",IF($G201&gt;0,$F201*$G201/100,$F201*100/ABS($G201)))))))</f>
        <v/>
      </c>
      <c r="L201" s="24">
        <f>IF(OR($H201="",$I201=""),"",IF($C201="Spread",$H201-$I201,IF($C201="Under",$H201-$I201,IF($C201="Over",$I201-$H201,IF($C201="ML",(IF($I201&gt;0,100/($I201+100),ABS($I201)/(ABS($I201)+100))-IF($H201&gt;0,100/($H201+100),ABS($H201)/(ABS($H201)+100)))*100,"")))))</f>
        <v/>
      </c>
    </row>
  </sheetData>
  <conditionalFormatting sqref="J2:J201">
    <cfRule type="cellIs" priority="1" operator="equal" dxfId="0">
      <formula>"W"</formula>
    </cfRule>
    <cfRule type="cellIs" priority="2" operator="equal" dxfId="1">
      <formula>"L"</formula>
    </cfRule>
    <cfRule type="cellIs" priority="3" operator="equal" dxfId="2">
      <formula>"P"</formula>
    </cfRule>
  </conditionalFormatting>
  <conditionalFormatting sqref="E2:E201">
    <cfRule type="cellIs" priority="4" operator="equal" dxfId="3">
      <formula>"Lean"</formula>
    </cfRule>
    <cfRule type="cellIs" priority="5" operator="equal" dxfId="4">
      <formula>"Standard"</formula>
    </cfRule>
    <cfRule type="cellIs" priority="6" operator="equal" dxfId="5">
      <formula>"Max"</formula>
    </cfRule>
    <cfRule type="cellIs" priority="7" operator="equal" dxfId="6">
      <formula>"Parlay"</formula>
    </cfRule>
  </conditionalFormatting>
  <conditionalFormatting sqref="K2:K201">
    <cfRule type="cellIs" priority="8" operator="greaterThan" dxfId="7">
      <formula>0</formula>
    </cfRule>
    <cfRule type="cellIs" priority="9" operator="lessThan" dxfId="8">
      <formula>0</formula>
    </cfRule>
  </conditionalFormatting>
  <conditionalFormatting sqref="L2:L201">
    <cfRule type="cellIs" priority="10" operator="greaterThan" dxfId="7">
      <formula>0</formula>
    </cfRule>
    <cfRule type="cellIs" priority="11" operator="lessThan" dxfId="8">
      <formula>0</formula>
    </cfRule>
  </conditionalFormatting>
  <dataValidations count="4">
    <dataValidation sqref="B2:B201" showDropDown="0" showInputMessage="0" showErrorMessage="0" allowBlank="1" type="list">
      <formula1>"NBA,NCAAB,NFL,Soccer,MLB,NHL,PGA"</formula1>
    </dataValidation>
    <dataValidation sqref="C2:C201" showDropDown="0" showInputMessage="0" showErrorMessage="0" allowBlank="1" type="list">
      <formula1>"Spread,Over,Under,ML,Parlay"</formula1>
    </dataValidation>
    <dataValidation sqref="E2:E201" showDropDown="0" showInputMessage="0" showErrorMessage="0" allowBlank="1" type="list">
      <formula1>"Lean,Standard,Max,Parlay"</formula1>
    </dataValidation>
    <dataValidation sqref="J2:J201" showDropDown="0" showInputMessage="0" showErrorMessage="0" allowBlank="1" type="list">
      <formula1>"W,L,P,Pending"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>
      <c r="A1" t="inlineStr"/>
      <c r="B1" s="25" t="inlineStr">
        <is>
          <t>PRE-BET 4-FILTER GATE</t>
        </is>
      </c>
    </row>
    <row r="2">
      <c r="A2" t="inlineStr"/>
      <c r="B2" s="4" t="inlineStr">
        <is>
          <t>All four must pass. Any fail → PASS the bet.</t>
        </is>
      </c>
    </row>
    <row r="4">
      <c r="A4" s="26" t="inlineStr"/>
      <c r="B4" s="27" t="inlineStr">
        <is>
          <t>FILTER 1 — Standard market?</t>
        </is>
      </c>
    </row>
    <row r="5">
      <c r="A5" s="28" t="inlineStr">
        <is>
          <t>☐</t>
        </is>
      </c>
      <c r="B5" t="inlineStr">
        <is>
          <t>Odds in the -110 to -115 band? KILL anything heavier than -120, and any parlay/prop/teaser juiced both sides.</t>
        </is>
      </c>
    </row>
    <row r="7">
      <c r="A7" s="26" t="inlineStr"/>
      <c r="B7" s="27" t="inlineStr">
        <is>
          <t>FILTER 2 — Real edge on the number?</t>
        </is>
      </c>
    </row>
    <row r="8">
      <c r="A8" s="28" t="inlineStr">
        <is>
          <t>☐</t>
        </is>
      </c>
      <c r="B8" t="inlineStr">
        <is>
          <t>Projection 1.5+ pts off the number (spread/total) OR 3%+ ML edge.</t>
        </is>
      </c>
    </row>
    <row r="10">
      <c r="A10" s="26" t="inlineStr"/>
      <c r="B10" s="27" t="inlineStr">
        <is>
          <t>FILTER 3 — Line moved my way?</t>
        </is>
      </c>
    </row>
    <row r="11">
      <c r="A11" s="28" t="inlineStr">
        <is>
          <t>☐</t>
        </is>
      </c>
      <c r="B11" t="inlineStr">
        <is>
          <t>Line has moved toward my side (confirmation the market agrees).</t>
        </is>
      </c>
    </row>
    <row r="13">
      <c r="A13" s="26" t="inlineStr"/>
      <c r="B13" s="27" t="inlineStr">
        <is>
          <t>FILTER 4 — Conviction tier</t>
        </is>
      </c>
    </row>
    <row r="14">
      <c r="A14" t="inlineStr"/>
      <c r="B14" s="22" t="inlineStr">
        <is>
          <t>Default LEAN ($295). Step up only if 2 of the following are true:</t>
        </is>
      </c>
    </row>
    <row r="15">
      <c r="A15" s="28" t="inlineStr">
        <is>
          <t>☐</t>
        </is>
      </c>
      <c r="B15" t="inlineStr">
        <is>
          <t>Edge 2.5+ pts / 5%+</t>
        </is>
      </c>
    </row>
    <row r="16">
      <c r="A16" s="28" t="inlineStr">
        <is>
          <t>☐</t>
        </is>
      </c>
      <c r="B16" t="inlineStr">
        <is>
          <t>Line moved 1+ pt my way</t>
        </is>
      </c>
    </row>
    <row r="17">
      <c r="A17" s="28" t="inlineStr">
        <is>
          <t>☐</t>
        </is>
      </c>
      <c r="B17" t="inlineStr">
        <is>
          <t>Injury news supports an unpriced angle</t>
        </is>
      </c>
    </row>
    <row r="18">
      <c r="A18" t="inlineStr"/>
      <c r="B18" s="29" t="inlineStr">
        <is>
          <t>→ 2 of 3 met = STANDARD ($510). Exceptional + all 3 = MAX ($900).</t>
        </is>
      </c>
    </row>
    <row r="20">
      <c r="A20" t="inlineStr"/>
      <c r="B20" s="8" t="inlineStr">
        <is>
          <t>TIER SIZING (locked)</t>
        </is>
      </c>
    </row>
    <row r="21">
      <c r="A21" t="inlineStr"/>
      <c r="B21" s="30" t="inlineStr">
        <is>
          <t>Lean $295   ·   Standard $510   ·   Max $900   ·   Parlay $25-$50 (2-leg cross-game only)</t>
        </is>
      </c>
    </row>
    <row r="24">
      <c r="A24" t="inlineStr"/>
      <c r="B24" s="8" t="inlineStr">
        <is>
          <t>MARKET-SOFTNESS HIERARCHY (where edge lives — softest first)</t>
        </is>
      </c>
    </row>
    <row r="25">
      <c r="B25" s="22" t="inlineStr">
        <is>
          <t>1.  1H totals .............. softest, most edge</t>
        </is>
      </c>
    </row>
    <row r="26">
      <c r="B26" s="22" t="inlineStr">
        <is>
          <t>2.  2H totals</t>
        </is>
      </c>
    </row>
    <row r="27">
      <c r="B27" s="22" t="inlineStr">
        <is>
          <t>3.  Full-game spreads on key numbers</t>
        </is>
      </c>
    </row>
    <row r="28">
      <c r="B28" s="22" t="inlineStr">
        <is>
          <t>4.  Small-dog MLs (+100 to +180)</t>
        </is>
      </c>
    </row>
    <row r="29">
      <c r="B29" s="22" t="inlineStr">
        <is>
          <t>5.  Full-game totals ....... hardest; books model heavily. Only with a pace/efficiency read.</t>
        </is>
      </c>
    </row>
  </sheetData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8" customWidth="1" min="4" max="4"/>
    <col width="12" customWidth="1" min="5" max="5"/>
    <col width="10" customWidth="1" min="6" max="6"/>
    <col width="9" customWidth="1" min="7" max="7"/>
  </cols>
  <sheetData>
    <row r="1">
      <c r="A1" s="14" t="inlineStr">
        <is>
          <t>Week</t>
        </is>
      </c>
      <c r="B1" s="14" t="inlineStr">
        <is>
          <t>Start</t>
        </is>
      </c>
      <c r="C1" s="14" t="inlineStr">
        <is>
          <t>End</t>
        </is>
      </c>
      <c r="D1" s="14" t="inlineStr">
        <is>
          <t>Bets</t>
        </is>
      </c>
      <c r="E1" s="14" t="inlineStr">
        <is>
          <t>P&amp;L ($)</t>
        </is>
      </c>
      <c r="F1" s="14" t="inlineStr">
        <is>
          <t>Avg CLV</t>
        </is>
      </c>
      <c r="G1" s="14" t="inlineStr">
        <is>
          <t>Win %</t>
        </is>
      </c>
    </row>
    <row r="2">
      <c r="A2" s="6" t="n">
        <v>1</v>
      </c>
      <c r="B2" s="23" t="n">
        <v>46153</v>
      </c>
      <c r="C2" s="23" t="n">
        <v>46159</v>
      </c>
      <c r="D2" s="15">
        <f>COUNTIFS(Bets!$A$2:$A$201,"&gt;="&amp;$B2,Bets!$A$2:$A$201,"&lt;="&amp;$C2,Bets!$J$2:$J$201,"&lt;&gt;Pending",Bets!$J$2:$J$201,"&lt;&gt;")</f>
        <v/>
      </c>
      <c r="E2" s="17">
        <f>SUMIFS(Bets!$K$2:$K$201,Bets!$A$2:$A$201,"&gt;="&amp;$B2,Bets!$A$2:$A$201,"&lt;="&amp;$C2)</f>
        <v/>
      </c>
      <c r="F2" s="24">
        <f>IFERROR(AVERAGEIFS(Bets!$L$2:$L$201,Bets!$A$2:$A$201,"&gt;="&amp;$B2,Bets!$A$2:$A$201,"&lt;="&amp;$C2),"")</f>
        <v/>
      </c>
      <c r="G2" s="16">
        <f>IFERROR(COUNTIFS(Bets!$A$2:$A$201,"&gt;="&amp;$B2,Bets!$A$2:$A$201,"&lt;="&amp;$C2,Bets!$J$2:$J$201,"W")/(COUNTIFS(Bets!$A$2:$A$201,"&gt;="&amp;$B2,Bets!$A$2:$A$201,"&lt;="&amp;$C2,Bets!$J$2:$J$201,"W")+COUNTIFS(Bets!$A$2:$A$201,"&gt;="&amp;$B2,Bets!$A$2:$A$201,"&lt;="&amp;$C2,Bets!$J$2:$J$201,"L")),"")</f>
        <v/>
      </c>
    </row>
    <row r="3">
      <c r="A3" s="6" t="n">
        <v>2</v>
      </c>
      <c r="B3" s="23" t="n">
        <v>46160</v>
      </c>
      <c r="C3" s="23" t="n">
        <v>46166</v>
      </c>
      <c r="D3" s="15">
        <f>COUNTIFS(Bets!$A$2:$A$201,"&gt;="&amp;$B3,Bets!$A$2:$A$201,"&lt;="&amp;$C3,Bets!$J$2:$J$201,"&lt;&gt;Pending",Bets!$J$2:$J$201,"&lt;&gt;")</f>
        <v/>
      </c>
      <c r="E3" s="17">
        <f>SUMIFS(Bets!$K$2:$K$201,Bets!$A$2:$A$201,"&gt;="&amp;$B3,Bets!$A$2:$A$201,"&lt;="&amp;$C3)</f>
        <v/>
      </c>
      <c r="F3" s="24">
        <f>IFERROR(AVERAGEIFS(Bets!$L$2:$L$201,Bets!$A$2:$A$201,"&gt;="&amp;$B3,Bets!$A$2:$A$201,"&lt;="&amp;$C3),"")</f>
        <v/>
      </c>
      <c r="G3" s="16">
        <f>IFERROR(COUNTIFS(Bets!$A$2:$A$201,"&gt;="&amp;$B3,Bets!$A$2:$A$201,"&lt;="&amp;$C3,Bets!$J$2:$J$201,"W")/(COUNTIFS(Bets!$A$2:$A$201,"&gt;="&amp;$B3,Bets!$A$2:$A$201,"&lt;="&amp;$C3,Bets!$J$2:$J$201,"W")+COUNTIFS(Bets!$A$2:$A$201,"&gt;="&amp;$B3,Bets!$A$2:$A$201,"&lt;="&amp;$C3,Bets!$J$2:$J$201,"L")),"")</f>
        <v/>
      </c>
    </row>
    <row r="4">
      <c r="A4" s="6" t="n">
        <v>3</v>
      </c>
      <c r="B4" s="23" t="n">
        <v>46167</v>
      </c>
      <c r="C4" s="23" t="n">
        <v>46173</v>
      </c>
      <c r="D4" s="15">
        <f>COUNTIFS(Bets!$A$2:$A$201,"&gt;="&amp;$B4,Bets!$A$2:$A$201,"&lt;="&amp;$C4,Bets!$J$2:$J$201,"&lt;&gt;Pending",Bets!$J$2:$J$201,"&lt;&gt;")</f>
        <v/>
      </c>
      <c r="E4" s="17">
        <f>SUMIFS(Bets!$K$2:$K$201,Bets!$A$2:$A$201,"&gt;="&amp;$B4,Bets!$A$2:$A$201,"&lt;="&amp;$C4)</f>
        <v/>
      </c>
      <c r="F4" s="24">
        <f>IFERROR(AVERAGEIFS(Bets!$L$2:$L$201,Bets!$A$2:$A$201,"&gt;="&amp;$B4,Bets!$A$2:$A$201,"&lt;="&amp;$C4),"")</f>
        <v/>
      </c>
      <c r="G4" s="16">
        <f>IFERROR(COUNTIFS(Bets!$A$2:$A$201,"&gt;="&amp;$B4,Bets!$A$2:$A$201,"&lt;="&amp;$C4,Bets!$J$2:$J$201,"W")/(COUNTIFS(Bets!$A$2:$A$201,"&gt;="&amp;$B4,Bets!$A$2:$A$201,"&lt;="&amp;$C4,Bets!$J$2:$J$201,"W")+COUNTIFS(Bets!$A$2:$A$201,"&gt;="&amp;$B4,Bets!$A$2:$A$201,"&lt;="&amp;$C4,Bets!$J$2:$J$201,"L")),"")</f>
        <v/>
      </c>
    </row>
    <row r="5">
      <c r="A5" s="6" t="n">
        <v>4</v>
      </c>
      <c r="B5" s="23" t="n">
        <v>46174</v>
      </c>
      <c r="C5" s="23" t="n">
        <v>46180</v>
      </c>
      <c r="D5" s="15">
        <f>COUNTIFS(Bets!$A$2:$A$201,"&gt;="&amp;$B5,Bets!$A$2:$A$201,"&lt;="&amp;$C5,Bets!$J$2:$J$201,"&lt;&gt;Pending",Bets!$J$2:$J$201,"&lt;&gt;")</f>
        <v/>
      </c>
      <c r="E5" s="17">
        <f>SUMIFS(Bets!$K$2:$K$201,Bets!$A$2:$A$201,"&gt;="&amp;$B5,Bets!$A$2:$A$201,"&lt;="&amp;$C5)</f>
        <v/>
      </c>
      <c r="F5" s="24">
        <f>IFERROR(AVERAGEIFS(Bets!$L$2:$L$201,Bets!$A$2:$A$201,"&gt;="&amp;$B5,Bets!$A$2:$A$201,"&lt;="&amp;$C5),"")</f>
        <v/>
      </c>
      <c r="G5" s="16">
        <f>IFERROR(COUNTIFS(Bets!$A$2:$A$201,"&gt;="&amp;$B5,Bets!$A$2:$A$201,"&lt;="&amp;$C5,Bets!$J$2:$J$201,"W")/(COUNTIFS(Bets!$A$2:$A$201,"&gt;="&amp;$B5,Bets!$A$2:$A$201,"&lt;="&amp;$C5,Bets!$J$2:$J$201,"W")+COUNTIFS(Bets!$A$2:$A$201,"&gt;="&amp;$B5,Bets!$A$2:$A$201,"&lt;="&amp;$C5,Bets!$J$2:$J$201,"L")),"")</f>
        <v/>
      </c>
    </row>
    <row r="6">
      <c r="A6" s="6" t="n">
        <v>5</v>
      </c>
      <c r="B6" s="23" t="n">
        <v>46181</v>
      </c>
      <c r="C6" s="23" t="n">
        <v>46187</v>
      </c>
      <c r="D6" s="15">
        <f>COUNTIFS(Bets!$A$2:$A$201,"&gt;="&amp;$B6,Bets!$A$2:$A$201,"&lt;="&amp;$C6,Bets!$J$2:$J$201,"&lt;&gt;Pending",Bets!$J$2:$J$201,"&lt;&gt;")</f>
        <v/>
      </c>
      <c r="E6" s="17">
        <f>SUMIFS(Bets!$K$2:$K$201,Bets!$A$2:$A$201,"&gt;="&amp;$B6,Bets!$A$2:$A$201,"&lt;="&amp;$C6)</f>
        <v/>
      </c>
      <c r="F6" s="24">
        <f>IFERROR(AVERAGEIFS(Bets!$L$2:$L$201,Bets!$A$2:$A$201,"&gt;="&amp;$B6,Bets!$A$2:$A$201,"&lt;="&amp;$C6),"")</f>
        <v/>
      </c>
      <c r="G6" s="16">
        <f>IFERROR(COUNTIFS(Bets!$A$2:$A$201,"&gt;="&amp;$B6,Bets!$A$2:$A$201,"&lt;="&amp;$C6,Bets!$J$2:$J$201,"W")/(COUNTIFS(Bets!$A$2:$A$201,"&gt;="&amp;$B6,Bets!$A$2:$A$201,"&lt;="&amp;$C6,Bets!$J$2:$J$201,"W")+COUNTIFS(Bets!$A$2:$A$201,"&gt;="&amp;$B6,Bets!$A$2:$A$201,"&lt;="&amp;$C6,Bets!$J$2:$J$201,"L")),"")</f>
        <v/>
      </c>
    </row>
    <row r="7">
      <c r="A7" s="6" t="n">
        <v>6</v>
      </c>
      <c r="B7" s="23" t="n">
        <v>46188</v>
      </c>
      <c r="C7" s="23" t="n">
        <v>46194</v>
      </c>
      <c r="D7" s="15">
        <f>COUNTIFS(Bets!$A$2:$A$201,"&gt;="&amp;$B7,Bets!$A$2:$A$201,"&lt;="&amp;$C7,Bets!$J$2:$J$201,"&lt;&gt;Pending",Bets!$J$2:$J$201,"&lt;&gt;")</f>
        <v/>
      </c>
      <c r="E7" s="17">
        <f>SUMIFS(Bets!$K$2:$K$201,Bets!$A$2:$A$201,"&gt;="&amp;$B7,Bets!$A$2:$A$201,"&lt;="&amp;$C7)</f>
        <v/>
      </c>
      <c r="F7" s="24">
        <f>IFERROR(AVERAGEIFS(Bets!$L$2:$L$201,Bets!$A$2:$A$201,"&gt;="&amp;$B7,Bets!$A$2:$A$201,"&lt;="&amp;$C7),"")</f>
        <v/>
      </c>
      <c r="G7" s="16">
        <f>IFERROR(COUNTIFS(Bets!$A$2:$A$201,"&gt;="&amp;$B7,Bets!$A$2:$A$201,"&lt;="&amp;$C7,Bets!$J$2:$J$201,"W")/(COUNTIFS(Bets!$A$2:$A$201,"&gt;="&amp;$B7,Bets!$A$2:$A$201,"&lt;="&amp;$C7,Bets!$J$2:$J$201,"W")+COUNTIFS(Bets!$A$2:$A$201,"&gt;="&amp;$B7,Bets!$A$2:$A$201,"&lt;="&amp;$C7,Bets!$J$2:$J$201,"L")),"")</f>
        <v/>
      </c>
    </row>
    <row r="8">
      <c r="A8" s="6" t="n">
        <v>7</v>
      </c>
      <c r="B8" s="23" t="n">
        <v>46195</v>
      </c>
      <c r="C8" s="23" t="n">
        <v>46201</v>
      </c>
      <c r="D8" s="15">
        <f>COUNTIFS(Bets!$A$2:$A$201,"&gt;="&amp;$B8,Bets!$A$2:$A$201,"&lt;="&amp;$C8,Bets!$J$2:$J$201,"&lt;&gt;Pending",Bets!$J$2:$J$201,"&lt;&gt;")</f>
        <v/>
      </c>
      <c r="E8" s="17">
        <f>SUMIFS(Bets!$K$2:$K$201,Bets!$A$2:$A$201,"&gt;="&amp;$B8,Bets!$A$2:$A$201,"&lt;="&amp;$C8)</f>
        <v/>
      </c>
      <c r="F8" s="24">
        <f>IFERROR(AVERAGEIFS(Bets!$L$2:$L$201,Bets!$A$2:$A$201,"&gt;="&amp;$B8,Bets!$A$2:$A$201,"&lt;="&amp;$C8),"")</f>
        <v/>
      </c>
      <c r="G8" s="16">
        <f>IFERROR(COUNTIFS(Bets!$A$2:$A$201,"&gt;="&amp;$B8,Bets!$A$2:$A$201,"&lt;="&amp;$C8,Bets!$J$2:$J$201,"W")/(COUNTIFS(Bets!$A$2:$A$201,"&gt;="&amp;$B8,Bets!$A$2:$A$201,"&lt;="&amp;$C8,Bets!$J$2:$J$201,"W")+COUNTIFS(Bets!$A$2:$A$201,"&gt;="&amp;$B8,Bets!$A$2:$A$201,"&lt;="&amp;$C8,Bets!$J$2:$J$201,"L")),"")</f>
        <v/>
      </c>
    </row>
    <row r="9">
      <c r="A9" s="6" t="n">
        <v>8</v>
      </c>
      <c r="B9" s="23" t="n">
        <v>46202</v>
      </c>
      <c r="C9" s="23" t="n">
        <v>46208</v>
      </c>
      <c r="D9" s="15">
        <f>COUNTIFS(Bets!$A$2:$A$201,"&gt;="&amp;$B9,Bets!$A$2:$A$201,"&lt;="&amp;$C9,Bets!$J$2:$J$201,"&lt;&gt;Pending",Bets!$J$2:$J$201,"&lt;&gt;")</f>
        <v/>
      </c>
      <c r="E9" s="17">
        <f>SUMIFS(Bets!$K$2:$K$201,Bets!$A$2:$A$201,"&gt;="&amp;$B9,Bets!$A$2:$A$201,"&lt;="&amp;$C9)</f>
        <v/>
      </c>
      <c r="F9" s="24">
        <f>IFERROR(AVERAGEIFS(Bets!$L$2:$L$201,Bets!$A$2:$A$201,"&gt;="&amp;$B9,Bets!$A$2:$A$201,"&lt;="&amp;$C9),"")</f>
        <v/>
      </c>
      <c r="G9" s="16">
        <f>IFERROR(COUNTIFS(Bets!$A$2:$A$201,"&gt;="&amp;$B9,Bets!$A$2:$A$201,"&lt;="&amp;$C9,Bets!$J$2:$J$201,"W")/(COUNTIFS(Bets!$A$2:$A$201,"&gt;="&amp;$B9,Bets!$A$2:$A$201,"&lt;="&amp;$C9,Bets!$J$2:$J$201,"W")+COUNTIFS(Bets!$A$2:$A$201,"&gt;="&amp;$B9,Bets!$A$2:$A$201,"&lt;="&amp;$C9,Bets!$J$2:$J$201,"L")),"")</f>
        <v/>
      </c>
    </row>
    <row r="10">
      <c r="A10" s="6" t="n">
        <v>9</v>
      </c>
      <c r="B10" s="23" t="n">
        <v>46209</v>
      </c>
      <c r="C10" s="23" t="n">
        <v>46215</v>
      </c>
      <c r="D10" s="15">
        <f>COUNTIFS(Bets!$A$2:$A$201,"&gt;="&amp;$B10,Bets!$A$2:$A$201,"&lt;="&amp;$C10,Bets!$J$2:$J$201,"&lt;&gt;Pending",Bets!$J$2:$J$201,"&lt;&gt;")</f>
        <v/>
      </c>
      <c r="E10" s="17">
        <f>SUMIFS(Bets!$K$2:$K$201,Bets!$A$2:$A$201,"&gt;="&amp;$B10,Bets!$A$2:$A$201,"&lt;="&amp;$C10)</f>
        <v/>
      </c>
      <c r="F10" s="24">
        <f>IFERROR(AVERAGEIFS(Bets!$L$2:$L$201,Bets!$A$2:$A$201,"&gt;="&amp;$B10,Bets!$A$2:$A$201,"&lt;="&amp;$C10),"")</f>
        <v/>
      </c>
      <c r="G10" s="16">
        <f>IFERROR(COUNTIFS(Bets!$A$2:$A$201,"&gt;="&amp;$B10,Bets!$A$2:$A$201,"&lt;="&amp;$C10,Bets!$J$2:$J$201,"W")/(COUNTIFS(Bets!$A$2:$A$201,"&gt;="&amp;$B10,Bets!$A$2:$A$201,"&lt;="&amp;$C10,Bets!$J$2:$J$201,"W")+COUNTIFS(Bets!$A$2:$A$201,"&gt;="&amp;$B10,Bets!$A$2:$A$201,"&lt;="&amp;$C10,Bets!$J$2:$J$201,"L")),"")</f>
        <v/>
      </c>
    </row>
    <row r="11">
      <c r="A11" s="6" t="n">
        <v>10</v>
      </c>
      <c r="B11" s="23" t="n">
        <v>46216</v>
      </c>
      <c r="C11" s="23" t="n">
        <v>46222</v>
      </c>
      <c r="D11" s="15">
        <f>COUNTIFS(Bets!$A$2:$A$201,"&gt;="&amp;$B11,Bets!$A$2:$A$201,"&lt;="&amp;$C11,Bets!$J$2:$J$201,"&lt;&gt;Pending",Bets!$J$2:$J$201,"&lt;&gt;")</f>
        <v/>
      </c>
      <c r="E11" s="17">
        <f>SUMIFS(Bets!$K$2:$K$201,Bets!$A$2:$A$201,"&gt;="&amp;$B11,Bets!$A$2:$A$201,"&lt;="&amp;$C11)</f>
        <v/>
      </c>
      <c r="F11" s="24">
        <f>IFERROR(AVERAGEIFS(Bets!$L$2:$L$201,Bets!$A$2:$A$201,"&gt;="&amp;$B11,Bets!$A$2:$A$201,"&lt;="&amp;$C11),"")</f>
        <v/>
      </c>
      <c r="G11" s="16">
        <f>IFERROR(COUNTIFS(Bets!$A$2:$A$201,"&gt;="&amp;$B11,Bets!$A$2:$A$201,"&lt;="&amp;$C11,Bets!$J$2:$J$201,"W")/(COUNTIFS(Bets!$A$2:$A$201,"&gt;="&amp;$B11,Bets!$A$2:$A$201,"&lt;="&amp;$C11,Bets!$J$2:$J$201,"W")+COUNTIFS(Bets!$A$2:$A$201,"&gt;="&amp;$B11,Bets!$A$2:$A$201,"&lt;="&amp;$C11,Bets!$J$2:$J$201,"L")),"")</f>
        <v/>
      </c>
    </row>
    <row r="12">
      <c r="A12" s="6" t="n">
        <v>11</v>
      </c>
      <c r="B12" s="23" t="n">
        <v>46223</v>
      </c>
      <c r="C12" s="23" t="n">
        <v>46229</v>
      </c>
      <c r="D12" s="15">
        <f>COUNTIFS(Bets!$A$2:$A$201,"&gt;="&amp;$B12,Bets!$A$2:$A$201,"&lt;="&amp;$C12,Bets!$J$2:$J$201,"&lt;&gt;Pending",Bets!$J$2:$J$201,"&lt;&gt;")</f>
        <v/>
      </c>
      <c r="E12" s="17">
        <f>SUMIFS(Bets!$K$2:$K$201,Bets!$A$2:$A$201,"&gt;="&amp;$B12,Bets!$A$2:$A$201,"&lt;="&amp;$C12)</f>
        <v/>
      </c>
      <c r="F12" s="24">
        <f>IFERROR(AVERAGEIFS(Bets!$L$2:$L$201,Bets!$A$2:$A$201,"&gt;="&amp;$B12,Bets!$A$2:$A$201,"&lt;="&amp;$C12),"")</f>
        <v/>
      </c>
      <c r="G12" s="16">
        <f>IFERROR(COUNTIFS(Bets!$A$2:$A$201,"&gt;="&amp;$B12,Bets!$A$2:$A$201,"&lt;="&amp;$C12,Bets!$J$2:$J$201,"W")/(COUNTIFS(Bets!$A$2:$A$201,"&gt;="&amp;$B12,Bets!$A$2:$A$201,"&lt;="&amp;$C12,Bets!$J$2:$J$201,"W")+COUNTIFS(Bets!$A$2:$A$201,"&gt;="&amp;$B12,Bets!$A$2:$A$201,"&lt;="&amp;$C12,Bets!$J$2:$J$201,"L")),"")</f>
        <v/>
      </c>
    </row>
    <row r="13">
      <c r="A13" s="6" t="n">
        <v>12</v>
      </c>
      <c r="B13" s="23" t="n">
        <v>46230</v>
      </c>
      <c r="C13" s="23" t="n">
        <v>46236</v>
      </c>
      <c r="D13" s="15">
        <f>COUNTIFS(Bets!$A$2:$A$201,"&gt;="&amp;$B13,Bets!$A$2:$A$201,"&lt;="&amp;$C13,Bets!$J$2:$J$201,"&lt;&gt;Pending",Bets!$J$2:$J$201,"&lt;&gt;")</f>
        <v/>
      </c>
      <c r="E13" s="17">
        <f>SUMIFS(Bets!$K$2:$K$201,Bets!$A$2:$A$201,"&gt;="&amp;$B13,Bets!$A$2:$A$201,"&lt;="&amp;$C13)</f>
        <v/>
      </c>
      <c r="F13" s="24">
        <f>IFERROR(AVERAGEIFS(Bets!$L$2:$L$201,Bets!$A$2:$A$201,"&gt;="&amp;$B13,Bets!$A$2:$A$201,"&lt;="&amp;$C13),"")</f>
        <v/>
      </c>
      <c r="G13" s="16">
        <f>IFERROR(COUNTIFS(Bets!$A$2:$A$201,"&gt;="&amp;$B13,Bets!$A$2:$A$201,"&lt;="&amp;$C13,Bets!$J$2:$J$201,"W")/(COUNTIFS(Bets!$A$2:$A$201,"&gt;="&amp;$B13,Bets!$A$2:$A$201,"&lt;="&amp;$C13,Bets!$J$2:$J$201,"W")+COUNTIFS(Bets!$A$2:$A$201,"&gt;="&amp;$B13,Bets!$A$2:$A$201,"&lt;="&amp;$C13,Bets!$J$2:$J$201,"L")),"")</f>
        <v/>
      </c>
    </row>
    <row r="14">
      <c r="A14" s="6" t="n">
        <v>13</v>
      </c>
      <c r="B14" s="23" t="n">
        <v>46237</v>
      </c>
      <c r="C14" s="23" t="n">
        <v>46243</v>
      </c>
      <c r="D14" s="15">
        <f>COUNTIFS(Bets!$A$2:$A$201,"&gt;="&amp;$B14,Bets!$A$2:$A$201,"&lt;="&amp;$C14,Bets!$J$2:$J$201,"&lt;&gt;Pending",Bets!$J$2:$J$201,"&lt;&gt;")</f>
        <v/>
      </c>
      <c r="E14" s="17">
        <f>SUMIFS(Bets!$K$2:$K$201,Bets!$A$2:$A$201,"&gt;="&amp;$B14,Bets!$A$2:$A$201,"&lt;="&amp;$C14)</f>
        <v/>
      </c>
      <c r="F14" s="24">
        <f>IFERROR(AVERAGEIFS(Bets!$L$2:$L$201,Bets!$A$2:$A$201,"&gt;="&amp;$B14,Bets!$A$2:$A$201,"&lt;="&amp;$C14),"")</f>
        <v/>
      </c>
      <c r="G14" s="16">
        <f>IFERROR(COUNTIFS(Bets!$A$2:$A$201,"&gt;="&amp;$B14,Bets!$A$2:$A$201,"&lt;="&amp;$C14,Bets!$J$2:$J$201,"W")/(COUNTIFS(Bets!$A$2:$A$201,"&gt;="&amp;$B14,Bets!$A$2:$A$201,"&lt;="&amp;$C14,Bets!$J$2:$J$201,"W")+COUNTIFS(Bets!$A$2:$A$201,"&gt;="&amp;$B14,Bets!$A$2:$A$201,"&lt;="&amp;$C14,Bets!$J$2:$J$201,"L")),"")</f>
        <v/>
      </c>
    </row>
    <row r="15">
      <c r="A15" s="6" t="n">
        <v>14</v>
      </c>
      <c r="B15" s="23" t="n">
        <v>46244</v>
      </c>
      <c r="C15" s="23" t="n">
        <v>46250</v>
      </c>
      <c r="D15" s="15">
        <f>COUNTIFS(Bets!$A$2:$A$201,"&gt;="&amp;$B15,Bets!$A$2:$A$201,"&lt;="&amp;$C15,Bets!$J$2:$J$201,"&lt;&gt;Pending",Bets!$J$2:$J$201,"&lt;&gt;")</f>
        <v/>
      </c>
      <c r="E15" s="17">
        <f>SUMIFS(Bets!$K$2:$K$201,Bets!$A$2:$A$201,"&gt;="&amp;$B15,Bets!$A$2:$A$201,"&lt;="&amp;$C15)</f>
        <v/>
      </c>
      <c r="F15" s="24">
        <f>IFERROR(AVERAGEIFS(Bets!$L$2:$L$201,Bets!$A$2:$A$201,"&gt;="&amp;$B15,Bets!$A$2:$A$201,"&lt;="&amp;$C15),"")</f>
        <v/>
      </c>
      <c r="G15" s="16">
        <f>IFERROR(COUNTIFS(Bets!$A$2:$A$201,"&gt;="&amp;$B15,Bets!$A$2:$A$201,"&lt;="&amp;$C15,Bets!$J$2:$J$201,"W")/(COUNTIFS(Bets!$A$2:$A$201,"&gt;="&amp;$B15,Bets!$A$2:$A$201,"&lt;="&amp;$C15,Bets!$J$2:$J$201,"W")+COUNTIFS(Bets!$A$2:$A$201,"&gt;="&amp;$B15,Bets!$A$2:$A$201,"&lt;="&amp;$C15,Bets!$J$2:$J$201,"L")),"")</f>
        <v/>
      </c>
    </row>
    <row r="16">
      <c r="A16" s="6" t="n">
        <v>15</v>
      </c>
      <c r="B16" s="23" t="n">
        <v>46251</v>
      </c>
      <c r="C16" s="23" t="n">
        <v>46257</v>
      </c>
      <c r="D16" s="15">
        <f>COUNTIFS(Bets!$A$2:$A$201,"&gt;="&amp;$B16,Bets!$A$2:$A$201,"&lt;="&amp;$C16,Bets!$J$2:$J$201,"&lt;&gt;Pending",Bets!$J$2:$J$201,"&lt;&gt;")</f>
        <v/>
      </c>
      <c r="E16" s="17">
        <f>SUMIFS(Bets!$K$2:$K$201,Bets!$A$2:$A$201,"&gt;="&amp;$B16,Bets!$A$2:$A$201,"&lt;="&amp;$C16)</f>
        <v/>
      </c>
      <c r="F16" s="24">
        <f>IFERROR(AVERAGEIFS(Bets!$L$2:$L$201,Bets!$A$2:$A$201,"&gt;="&amp;$B16,Bets!$A$2:$A$201,"&lt;="&amp;$C16),"")</f>
        <v/>
      </c>
      <c r="G16" s="16">
        <f>IFERROR(COUNTIFS(Bets!$A$2:$A$201,"&gt;="&amp;$B16,Bets!$A$2:$A$201,"&lt;="&amp;$C16,Bets!$J$2:$J$201,"W")/(COUNTIFS(Bets!$A$2:$A$201,"&gt;="&amp;$B16,Bets!$A$2:$A$201,"&lt;="&amp;$C16,Bets!$J$2:$J$201,"W")+COUNTIFS(Bets!$A$2:$A$201,"&gt;="&amp;$B16,Bets!$A$2:$A$201,"&lt;="&amp;$C16,Bets!$J$2:$J$201,"L")),"")</f>
        <v/>
      </c>
    </row>
    <row r="17">
      <c r="A17" s="6" t="n">
        <v>16</v>
      </c>
      <c r="B17" s="23" t="n">
        <v>46258</v>
      </c>
      <c r="C17" s="23" t="n">
        <v>46264</v>
      </c>
      <c r="D17" s="15">
        <f>COUNTIFS(Bets!$A$2:$A$201,"&gt;="&amp;$B17,Bets!$A$2:$A$201,"&lt;="&amp;$C17,Bets!$J$2:$J$201,"&lt;&gt;Pending",Bets!$J$2:$J$201,"&lt;&gt;")</f>
        <v/>
      </c>
      <c r="E17" s="17">
        <f>SUMIFS(Bets!$K$2:$K$201,Bets!$A$2:$A$201,"&gt;="&amp;$B17,Bets!$A$2:$A$201,"&lt;="&amp;$C17)</f>
        <v/>
      </c>
      <c r="F17" s="24">
        <f>IFERROR(AVERAGEIFS(Bets!$L$2:$L$201,Bets!$A$2:$A$201,"&gt;="&amp;$B17,Bets!$A$2:$A$201,"&lt;="&amp;$C17),"")</f>
        <v/>
      </c>
      <c r="G17" s="16">
        <f>IFERROR(COUNTIFS(Bets!$A$2:$A$201,"&gt;="&amp;$B17,Bets!$A$2:$A$201,"&lt;="&amp;$C17,Bets!$J$2:$J$201,"W")/(COUNTIFS(Bets!$A$2:$A$201,"&gt;="&amp;$B17,Bets!$A$2:$A$201,"&lt;="&amp;$C17,Bets!$J$2:$J$201,"W")+COUNTIFS(Bets!$A$2:$A$201,"&gt;="&amp;$B17,Bets!$A$2:$A$201,"&lt;="&amp;$C17,Bets!$J$2:$J$201,"L")),"")</f>
        <v/>
      </c>
    </row>
    <row r="18">
      <c r="A18" s="6" t="n">
        <v>17</v>
      </c>
      <c r="B18" s="23" t="n">
        <v>46265</v>
      </c>
      <c r="C18" s="23" t="n">
        <v>46271</v>
      </c>
      <c r="D18" s="15">
        <f>COUNTIFS(Bets!$A$2:$A$201,"&gt;="&amp;$B18,Bets!$A$2:$A$201,"&lt;="&amp;$C18,Bets!$J$2:$J$201,"&lt;&gt;Pending",Bets!$J$2:$J$201,"&lt;&gt;")</f>
        <v/>
      </c>
      <c r="E18" s="17">
        <f>SUMIFS(Bets!$K$2:$K$201,Bets!$A$2:$A$201,"&gt;="&amp;$B18,Bets!$A$2:$A$201,"&lt;="&amp;$C18)</f>
        <v/>
      </c>
      <c r="F18" s="24">
        <f>IFERROR(AVERAGEIFS(Bets!$L$2:$L$201,Bets!$A$2:$A$201,"&gt;="&amp;$B18,Bets!$A$2:$A$201,"&lt;="&amp;$C18),"")</f>
        <v/>
      </c>
      <c r="G18" s="16">
        <f>IFERROR(COUNTIFS(Bets!$A$2:$A$201,"&gt;="&amp;$B18,Bets!$A$2:$A$201,"&lt;="&amp;$C18,Bets!$J$2:$J$201,"W")/(COUNTIFS(Bets!$A$2:$A$201,"&gt;="&amp;$B18,Bets!$A$2:$A$201,"&lt;="&amp;$C18,Bets!$J$2:$J$201,"W")+COUNTIFS(Bets!$A$2:$A$201,"&gt;="&amp;$B18,Bets!$A$2:$A$201,"&lt;="&amp;$C18,Bets!$J$2:$J$201,"L")),"")</f>
        <v/>
      </c>
    </row>
    <row r="19">
      <c r="A19" s="6" t="n">
        <v>18</v>
      </c>
      <c r="B19" s="23" t="n">
        <v>46272</v>
      </c>
      <c r="C19" s="23" t="n">
        <v>46278</v>
      </c>
      <c r="D19" s="15">
        <f>COUNTIFS(Bets!$A$2:$A$201,"&gt;="&amp;$B19,Bets!$A$2:$A$201,"&lt;="&amp;$C19,Bets!$J$2:$J$201,"&lt;&gt;Pending",Bets!$J$2:$J$201,"&lt;&gt;")</f>
        <v/>
      </c>
      <c r="E19" s="17">
        <f>SUMIFS(Bets!$K$2:$K$201,Bets!$A$2:$A$201,"&gt;="&amp;$B19,Bets!$A$2:$A$201,"&lt;="&amp;$C19)</f>
        <v/>
      </c>
      <c r="F19" s="24">
        <f>IFERROR(AVERAGEIFS(Bets!$L$2:$L$201,Bets!$A$2:$A$201,"&gt;="&amp;$B19,Bets!$A$2:$A$201,"&lt;="&amp;$C19),"")</f>
        <v/>
      </c>
      <c r="G19" s="16">
        <f>IFERROR(COUNTIFS(Bets!$A$2:$A$201,"&gt;="&amp;$B19,Bets!$A$2:$A$201,"&lt;="&amp;$C19,Bets!$J$2:$J$201,"W")/(COUNTIFS(Bets!$A$2:$A$201,"&gt;="&amp;$B19,Bets!$A$2:$A$201,"&lt;="&amp;$C19,Bets!$J$2:$J$201,"W")+COUNTIFS(Bets!$A$2:$A$201,"&gt;="&amp;$B19,Bets!$A$2:$A$201,"&lt;="&amp;$C19,Bets!$J$2:$J$201,"L")),"")</f>
        <v/>
      </c>
    </row>
    <row r="20">
      <c r="A20" s="6" t="n">
        <v>19</v>
      </c>
      <c r="B20" s="23" t="n">
        <v>46279</v>
      </c>
      <c r="C20" s="23" t="n">
        <v>46285</v>
      </c>
      <c r="D20" s="15">
        <f>COUNTIFS(Bets!$A$2:$A$201,"&gt;="&amp;$B20,Bets!$A$2:$A$201,"&lt;="&amp;$C20,Bets!$J$2:$J$201,"&lt;&gt;Pending",Bets!$J$2:$J$201,"&lt;&gt;")</f>
        <v/>
      </c>
      <c r="E20" s="17">
        <f>SUMIFS(Bets!$K$2:$K$201,Bets!$A$2:$A$201,"&gt;="&amp;$B20,Bets!$A$2:$A$201,"&lt;="&amp;$C20)</f>
        <v/>
      </c>
      <c r="F20" s="24">
        <f>IFERROR(AVERAGEIFS(Bets!$L$2:$L$201,Bets!$A$2:$A$201,"&gt;="&amp;$B20,Bets!$A$2:$A$201,"&lt;="&amp;$C20),"")</f>
        <v/>
      </c>
      <c r="G20" s="16">
        <f>IFERROR(COUNTIFS(Bets!$A$2:$A$201,"&gt;="&amp;$B20,Bets!$A$2:$A$201,"&lt;="&amp;$C20,Bets!$J$2:$J$201,"W")/(COUNTIFS(Bets!$A$2:$A$201,"&gt;="&amp;$B20,Bets!$A$2:$A$201,"&lt;="&amp;$C20,Bets!$J$2:$J$201,"W")+COUNTIFS(Bets!$A$2:$A$201,"&gt;="&amp;$B20,Bets!$A$2:$A$201,"&lt;="&amp;$C20,Bets!$J$2:$J$201,"L")),"")</f>
        <v/>
      </c>
    </row>
    <row r="21">
      <c r="A21" s="6" t="n">
        <v>20</v>
      </c>
      <c r="B21" s="23" t="n">
        <v>46286</v>
      </c>
      <c r="C21" s="23" t="n">
        <v>46292</v>
      </c>
      <c r="D21" s="15">
        <f>COUNTIFS(Bets!$A$2:$A$201,"&gt;="&amp;$B21,Bets!$A$2:$A$201,"&lt;="&amp;$C21,Bets!$J$2:$J$201,"&lt;&gt;Pending",Bets!$J$2:$J$201,"&lt;&gt;")</f>
        <v/>
      </c>
      <c r="E21" s="17">
        <f>SUMIFS(Bets!$K$2:$K$201,Bets!$A$2:$A$201,"&gt;="&amp;$B21,Bets!$A$2:$A$201,"&lt;="&amp;$C21)</f>
        <v/>
      </c>
      <c r="F21" s="24">
        <f>IFERROR(AVERAGEIFS(Bets!$L$2:$L$201,Bets!$A$2:$A$201,"&gt;="&amp;$B21,Bets!$A$2:$A$201,"&lt;="&amp;$C21),"")</f>
        <v/>
      </c>
      <c r="G21" s="16">
        <f>IFERROR(COUNTIFS(Bets!$A$2:$A$201,"&gt;="&amp;$B21,Bets!$A$2:$A$201,"&lt;="&amp;$C21,Bets!$J$2:$J$201,"W")/(COUNTIFS(Bets!$A$2:$A$201,"&gt;="&amp;$B21,Bets!$A$2:$A$201,"&lt;="&amp;$C21,Bets!$J$2:$J$201,"W")+COUNTIFS(Bets!$A$2:$A$201,"&gt;="&amp;$B21,Bets!$A$2:$A$201,"&lt;="&amp;$C21,Bets!$J$2:$J$201,"L")),"")</f>
        <v/>
      </c>
    </row>
    <row r="22">
      <c r="A22" s="6" t="n">
        <v>21</v>
      </c>
      <c r="B22" s="23" t="n">
        <v>46293</v>
      </c>
      <c r="C22" s="23" t="n">
        <v>46299</v>
      </c>
      <c r="D22" s="15">
        <f>COUNTIFS(Bets!$A$2:$A$201,"&gt;="&amp;$B22,Bets!$A$2:$A$201,"&lt;="&amp;$C22,Bets!$J$2:$J$201,"&lt;&gt;Pending",Bets!$J$2:$J$201,"&lt;&gt;")</f>
        <v/>
      </c>
      <c r="E22" s="17">
        <f>SUMIFS(Bets!$K$2:$K$201,Bets!$A$2:$A$201,"&gt;="&amp;$B22,Bets!$A$2:$A$201,"&lt;="&amp;$C22)</f>
        <v/>
      </c>
      <c r="F22" s="24">
        <f>IFERROR(AVERAGEIFS(Bets!$L$2:$L$201,Bets!$A$2:$A$201,"&gt;="&amp;$B22,Bets!$A$2:$A$201,"&lt;="&amp;$C22),"")</f>
        <v/>
      </c>
      <c r="G22" s="16">
        <f>IFERROR(COUNTIFS(Bets!$A$2:$A$201,"&gt;="&amp;$B22,Bets!$A$2:$A$201,"&lt;="&amp;$C22,Bets!$J$2:$J$201,"W")/(COUNTIFS(Bets!$A$2:$A$201,"&gt;="&amp;$B22,Bets!$A$2:$A$201,"&lt;="&amp;$C22,Bets!$J$2:$J$201,"W")+COUNTIFS(Bets!$A$2:$A$201,"&gt;="&amp;$B22,Bets!$A$2:$A$201,"&lt;="&amp;$C22,Bets!$J$2:$J$201,"L")),"")</f>
        <v/>
      </c>
    </row>
    <row r="23">
      <c r="A23" s="6" t="n">
        <v>22</v>
      </c>
      <c r="B23" s="23" t="n">
        <v>46300</v>
      </c>
      <c r="C23" s="23" t="n">
        <v>46306</v>
      </c>
      <c r="D23" s="15">
        <f>COUNTIFS(Bets!$A$2:$A$201,"&gt;="&amp;$B23,Bets!$A$2:$A$201,"&lt;="&amp;$C23,Bets!$J$2:$J$201,"&lt;&gt;Pending",Bets!$J$2:$J$201,"&lt;&gt;")</f>
        <v/>
      </c>
      <c r="E23" s="17">
        <f>SUMIFS(Bets!$K$2:$K$201,Bets!$A$2:$A$201,"&gt;="&amp;$B23,Bets!$A$2:$A$201,"&lt;="&amp;$C23)</f>
        <v/>
      </c>
      <c r="F23" s="24">
        <f>IFERROR(AVERAGEIFS(Bets!$L$2:$L$201,Bets!$A$2:$A$201,"&gt;="&amp;$B23,Bets!$A$2:$A$201,"&lt;="&amp;$C23),"")</f>
        <v/>
      </c>
      <c r="G23" s="16">
        <f>IFERROR(COUNTIFS(Bets!$A$2:$A$201,"&gt;="&amp;$B23,Bets!$A$2:$A$201,"&lt;="&amp;$C23,Bets!$J$2:$J$201,"W")/(COUNTIFS(Bets!$A$2:$A$201,"&gt;="&amp;$B23,Bets!$A$2:$A$201,"&lt;="&amp;$C23,Bets!$J$2:$J$201,"W")+COUNTIFS(Bets!$A$2:$A$201,"&gt;="&amp;$B23,Bets!$A$2:$A$201,"&lt;="&amp;$C23,Bets!$J$2:$J$201,"L")),"")</f>
        <v/>
      </c>
    </row>
    <row r="24">
      <c r="A24" s="6" t="n">
        <v>23</v>
      </c>
      <c r="B24" s="23" t="n">
        <v>46307</v>
      </c>
      <c r="C24" s="23" t="n">
        <v>46313</v>
      </c>
      <c r="D24" s="15">
        <f>COUNTIFS(Bets!$A$2:$A$201,"&gt;="&amp;$B24,Bets!$A$2:$A$201,"&lt;="&amp;$C24,Bets!$J$2:$J$201,"&lt;&gt;Pending",Bets!$J$2:$J$201,"&lt;&gt;")</f>
        <v/>
      </c>
      <c r="E24" s="17">
        <f>SUMIFS(Bets!$K$2:$K$201,Bets!$A$2:$A$201,"&gt;="&amp;$B24,Bets!$A$2:$A$201,"&lt;="&amp;$C24)</f>
        <v/>
      </c>
      <c r="F24" s="24">
        <f>IFERROR(AVERAGEIFS(Bets!$L$2:$L$201,Bets!$A$2:$A$201,"&gt;="&amp;$B24,Bets!$A$2:$A$201,"&lt;="&amp;$C24),"")</f>
        <v/>
      </c>
      <c r="G24" s="16">
        <f>IFERROR(COUNTIFS(Bets!$A$2:$A$201,"&gt;="&amp;$B24,Bets!$A$2:$A$201,"&lt;="&amp;$C24,Bets!$J$2:$J$201,"W")/(COUNTIFS(Bets!$A$2:$A$201,"&gt;="&amp;$B24,Bets!$A$2:$A$201,"&lt;="&amp;$C24,Bets!$J$2:$J$201,"W")+COUNTIFS(Bets!$A$2:$A$201,"&gt;="&amp;$B24,Bets!$A$2:$A$201,"&lt;="&amp;$C24,Bets!$J$2:$J$201,"L")),"")</f>
        <v/>
      </c>
    </row>
    <row r="25">
      <c r="A25" s="6" t="n">
        <v>24</v>
      </c>
      <c r="B25" s="23" t="n">
        <v>46314</v>
      </c>
      <c r="C25" s="23" t="n">
        <v>46320</v>
      </c>
      <c r="D25" s="15">
        <f>COUNTIFS(Bets!$A$2:$A$201,"&gt;="&amp;$B25,Bets!$A$2:$A$201,"&lt;="&amp;$C25,Bets!$J$2:$J$201,"&lt;&gt;Pending",Bets!$J$2:$J$201,"&lt;&gt;")</f>
        <v/>
      </c>
      <c r="E25" s="17">
        <f>SUMIFS(Bets!$K$2:$K$201,Bets!$A$2:$A$201,"&gt;="&amp;$B25,Bets!$A$2:$A$201,"&lt;="&amp;$C25)</f>
        <v/>
      </c>
      <c r="F25" s="24">
        <f>IFERROR(AVERAGEIFS(Bets!$L$2:$L$201,Bets!$A$2:$A$201,"&gt;="&amp;$B25,Bets!$A$2:$A$201,"&lt;="&amp;$C25),"")</f>
        <v/>
      </c>
      <c r="G25" s="16">
        <f>IFERROR(COUNTIFS(Bets!$A$2:$A$201,"&gt;="&amp;$B25,Bets!$A$2:$A$201,"&lt;="&amp;$C25,Bets!$J$2:$J$201,"W")/(COUNTIFS(Bets!$A$2:$A$201,"&gt;="&amp;$B25,Bets!$A$2:$A$201,"&lt;="&amp;$C25,Bets!$J$2:$J$201,"W")+COUNTIFS(Bets!$A$2:$A$201,"&gt;="&amp;$B25,Bets!$A$2:$A$201,"&lt;="&amp;$C25,Bets!$J$2:$J$201,"L")),"")</f>
        <v/>
      </c>
    </row>
    <row r="26">
      <c r="A26" s="6" t="n">
        <v>25</v>
      </c>
      <c r="B26" s="23" t="n">
        <v>46321</v>
      </c>
      <c r="C26" s="23" t="n">
        <v>46327</v>
      </c>
      <c r="D26" s="15">
        <f>COUNTIFS(Bets!$A$2:$A$201,"&gt;="&amp;$B26,Bets!$A$2:$A$201,"&lt;="&amp;$C26,Bets!$J$2:$J$201,"&lt;&gt;Pending",Bets!$J$2:$J$201,"&lt;&gt;")</f>
        <v/>
      </c>
      <c r="E26" s="17">
        <f>SUMIFS(Bets!$K$2:$K$201,Bets!$A$2:$A$201,"&gt;="&amp;$B26,Bets!$A$2:$A$201,"&lt;="&amp;$C26)</f>
        <v/>
      </c>
      <c r="F26" s="24">
        <f>IFERROR(AVERAGEIFS(Bets!$L$2:$L$201,Bets!$A$2:$A$201,"&gt;="&amp;$B26,Bets!$A$2:$A$201,"&lt;="&amp;$C26),"")</f>
        <v/>
      </c>
      <c r="G26" s="16">
        <f>IFERROR(COUNTIFS(Bets!$A$2:$A$201,"&gt;="&amp;$B26,Bets!$A$2:$A$201,"&lt;="&amp;$C26,Bets!$J$2:$J$201,"W")/(COUNTIFS(Bets!$A$2:$A$201,"&gt;="&amp;$B26,Bets!$A$2:$A$201,"&lt;="&amp;$C26,Bets!$J$2:$J$201,"W")+COUNTIFS(Bets!$A$2:$A$201,"&gt;="&amp;$B26,Bets!$A$2:$A$201,"&lt;="&amp;$C26,Bets!$J$2:$J$201,"L")),"")</f>
        <v/>
      </c>
    </row>
    <row r="27">
      <c r="A27" s="6" t="n">
        <v>26</v>
      </c>
      <c r="B27" s="23" t="n">
        <v>46328</v>
      </c>
      <c r="C27" s="23" t="n">
        <v>46334</v>
      </c>
      <c r="D27" s="15">
        <f>COUNTIFS(Bets!$A$2:$A$201,"&gt;="&amp;$B27,Bets!$A$2:$A$201,"&lt;="&amp;$C27,Bets!$J$2:$J$201,"&lt;&gt;Pending",Bets!$J$2:$J$201,"&lt;&gt;")</f>
        <v/>
      </c>
      <c r="E27" s="17">
        <f>SUMIFS(Bets!$K$2:$K$201,Bets!$A$2:$A$201,"&gt;="&amp;$B27,Bets!$A$2:$A$201,"&lt;="&amp;$C27)</f>
        <v/>
      </c>
      <c r="F27" s="24">
        <f>IFERROR(AVERAGEIFS(Bets!$L$2:$L$201,Bets!$A$2:$A$201,"&gt;="&amp;$B27,Bets!$A$2:$A$201,"&lt;="&amp;$C27),"")</f>
        <v/>
      </c>
      <c r="G27" s="16">
        <f>IFERROR(COUNTIFS(Bets!$A$2:$A$201,"&gt;="&amp;$B27,Bets!$A$2:$A$201,"&lt;="&amp;$C27,Bets!$J$2:$J$201,"W")/(COUNTIFS(Bets!$A$2:$A$201,"&gt;="&amp;$B27,Bets!$A$2:$A$201,"&lt;="&amp;$C27,Bets!$J$2:$J$201,"W")+COUNTIFS(Bets!$A$2:$A$201,"&gt;="&amp;$B27,Bets!$A$2:$A$201,"&lt;="&amp;$C27,Bets!$J$2:$J$201,"L")),"")</f>
        <v/>
      </c>
    </row>
    <row r="29">
      <c r="A29" s="2" t="inlineStr">
        <is>
          <t>TOTAL</t>
        </is>
      </c>
      <c r="E29" s="12">
        <f>SUM(E2:E27)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2026-05-24T12:47:20Z</dcterms:created>
  <dcterms:modified xsi:type="dcterms:W3CDTF">2026-05-24T12:47:20Z</dcterms:modified>
</cp:coreProperties>
</file>